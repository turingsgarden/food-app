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a8e47cd0665cc8f/Desktop/Nutrify/food-app/Evaluation/"/>
    </mc:Choice>
  </mc:AlternateContent>
  <xr:revisionPtr revIDLastSave="1" documentId="13_ncr:1_{D99C9103-06DC-4966-8715-11A27EA26A52}" xr6:coauthVersionLast="47" xr6:coauthVersionMax="47" xr10:uidLastSave="{A4A111DC-CC90-43D6-ABD6-814E8BAD1FFE}"/>
  <bookViews>
    <workbookView xWindow="-110" yWindow="-110" windowWidth="22780" windowHeight="145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2" i="1" l="1"/>
  <c r="J132" i="1"/>
  <c r="K122" i="1"/>
  <c r="J122" i="1"/>
  <c r="K118" i="1"/>
  <c r="J118" i="1"/>
  <c r="K117" i="1"/>
  <c r="J117" i="1"/>
  <c r="K109" i="1"/>
  <c r="J109" i="1"/>
  <c r="K102" i="1"/>
  <c r="J102" i="1"/>
  <c r="K100" i="1"/>
  <c r="J100" i="1"/>
  <c r="K97" i="1"/>
  <c r="J97" i="1"/>
  <c r="K95" i="1"/>
  <c r="J95" i="1"/>
  <c r="K90" i="1"/>
  <c r="J90" i="1"/>
  <c r="K87" i="1"/>
  <c r="J87" i="1"/>
  <c r="K74" i="1"/>
  <c r="J74" i="1"/>
  <c r="K73" i="1"/>
  <c r="J73" i="1"/>
  <c r="K70" i="1"/>
  <c r="J70" i="1"/>
  <c r="K62" i="1"/>
  <c r="J62" i="1"/>
  <c r="K47" i="1"/>
  <c r="J47" i="1"/>
  <c r="K45" i="1"/>
  <c r="J45" i="1"/>
  <c r="K40" i="1"/>
  <c r="J40" i="1"/>
  <c r="K37" i="1"/>
  <c r="J37" i="1"/>
  <c r="K35" i="1"/>
  <c r="J35" i="1"/>
  <c r="K32" i="1"/>
  <c r="J32" i="1"/>
  <c r="K19" i="1"/>
  <c r="J19" i="1"/>
</calcChain>
</file>

<file path=xl/sharedStrings.xml><?xml version="1.0" encoding="utf-8"?>
<sst xmlns="http://schemas.openxmlformats.org/spreadsheetml/2006/main" count="555" uniqueCount="152">
  <si>
    <t>image_filename</t>
  </si>
  <si>
    <t>dish difference</t>
  </si>
  <si>
    <t>avg_diff</t>
  </si>
  <si>
    <t>avg_pct_diff</t>
  </si>
  <si>
    <t>gt_name</t>
  </si>
  <si>
    <t>pred_name</t>
  </si>
  <si>
    <t>similarity_score</t>
  </si>
  <si>
    <t>gt_qty</t>
  </si>
  <si>
    <t>pred_qty</t>
  </si>
  <si>
    <t>diff</t>
  </si>
  <si>
    <t>abs_diff</t>
  </si>
  <si>
    <t>pct_diff</t>
  </si>
  <si>
    <t>confidence</t>
  </si>
  <si>
    <t>dish_1559675268_rgb.png</t>
  </si>
  <si>
    <t>Yes</t>
  </si>
  <si>
    <t>cherry tomatoes</t>
  </si>
  <si>
    <t>Cherry tomato</t>
  </si>
  <si>
    <t>✅ High</t>
  </si>
  <si>
    <t>carrot</t>
  </si>
  <si>
    <t>Shredded carrot</t>
  </si>
  <si>
    <t>🟡 Contained</t>
  </si>
  <si>
    <t>bell peppers</t>
  </si>
  <si>
    <t>Green bell pepper</t>
  </si>
  <si>
    <t>brussels sprouts</t>
  </si>
  <si>
    <t>Roasted brussels sprout</t>
  </si>
  <si>
    <t>cucumbers</t>
  </si>
  <si>
    <t>Cucumber</t>
  </si>
  <si>
    <t>dish_1559751710_rgb.png</t>
  </si>
  <si>
    <t>berries</t>
  </si>
  <si>
    <t>Raspberry + Blackberry</t>
  </si>
  <si>
    <t>dish_1559751744_rgb.png</t>
  </si>
  <si>
    <t>eggs</t>
  </si>
  <si>
    <t>scrambled eggs</t>
  </si>
  <si>
    <t>blackberries + raspberries</t>
  </si>
  <si>
    <t>dish_1559838214_rgb.png</t>
  </si>
  <si>
    <t>bacon</t>
  </si>
  <si>
    <t>Bacon</t>
  </si>
  <si>
    <t>dish_1559838279_rgb.png</t>
  </si>
  <si>
    <t>bacon strip</t>
  </si>
  <si>
    <t>strawberry + raspberry + blackberry</t>
  </si>
  <si>
    <t>dish_1559841061_rgb.png</t>
  </si>
  <si>
    <t>blackberries</t>
  </si>
  <si>
    <t>Blackberry</t>
  </si>
  <si>
    <t>chicken apple sausage</t>
  </si>
  <si>
    <t>Sausage</t>
  </si>
  <si>
    <t>dish_1559841571_rgb.png</t>
  </si>
  <si>
    <t>cereal</t>
  </si>
  <si>
    <t>Oat Cereal</t>
  </si>
  <si>
    <t>dish_1559841781_rgb.png</t>
  </si>
  <si>
    <t>grapes</t>
  </si>
  <si>
    <t>Red Grapes</t>
  </si>
  <si>
    <t>dish_1559841808_rgb.png</t>
  </si>
  <si>
    <t>mandarin oranges</t>
  </si>
  <si>
    <t>Tangerine</t>
  </si>
  <si>
    <t>❌ No Match</t>
  </si>
  <si>
    <t>dish_1559841870_rgb.png</t>
  </si>
  <si>
    <t>pears</t>
  </si>
  <si>
    <t>Pear</t>
  </si>
  <si>
    <t>dish_1559841891_rgb.png</t>
  </si>
  <si>
    <t>Red grapes</t>
  </si>
  <si>
    <t>dish_1559841908_rgb.png</t>
  </si>
  <si>
    <t>broccoli</t>
  </si>
  <si>
    <t>Broccoli Florets</t>
  </si>
  <si>
    <t>dish_1559841950_rgb.png</t>
  </si>
  <si>
    <t>Broccoli</t>
  </si>
  <si>
    <t>dish_1559841979_rgb.png</t>
  </si>
  <si>
    <t>Mandarin Orange</t>
  </si>
  <si>
    <t>dish_1559842047_rgb.png</t>
  </si>
  <si>
    <t>dish_1559842274_rgb.png</t>
  </si>
  <si>
    <t>almonds</t>
  </si>
  <si>
    <t>Almonds</t>
  </si>
  <si>
    <t>dish_1559842326_rgb.png</t>
  </si>
  <si>
    <t>Almond</t>
  </si>
  <si>
    <t>dish_1559842374_rgb.png</t>
  </si>
  <si>
    <t>dish_1559842409_rgb.png</t>
  </si>
  <si>
    <t>strawberries</t>
  </si>
  <si>
    <t>Strawberry</t>
  </si>
  <si>
    <t>dish_1559843030_rgb.png</t>
  </si>
  <si>
    <t>Strawberries</t>
  </si>
  <si>
    <t>dish_1559843052_rgb.png</t>
  </si>
  <si>
    <t>Sliced Strawberries</t>
  </si>
  <si>
    <t>dish_1559843185_rgb.png</t>
  </si>
  <si>
    <t>dish_1559843222_rgb.png</t>
  </si>
  <si>
    <t>dish_1559843335_rgb.png</t>
  </si>
  <si>
    <t>dish_1559843492_rgb.png</t>
  </si>
  <si>
    <t>dish_1559843690_rgb.png</t>
  </si>
  <si>
    <t>potatoes</t>
  </si>
  <si>
    <t>Roasted Potatoes</t>
  </si>
  <si>
    <t>dish_1559844030_rgb.png</t>
  </si>
  <si>
    <t>Sliced strawberries</t>
  </si>
  <si>
    <t>dish_1559844090_rgb.png</t>
  </si>
  <si>
    <t>dish_1559844272_rgb.png</t>
  </si>
  <si>
    <t>dish_1559844323_rgb.png</t>
  </si>
  <si>
    <t>Grapes</t>
  </si>
  <si>
    <t>dish_1559844366_rgb.png</t>
  </si>
  <si>
    <t>red grapes</t>
  </si>
  <si>
    <t>dish_1559844458_rgb.png</t>
  </si>
  <si>
    <t>dish_1559844479_rgb.png</t>
  </si>
  <si>
    <t>dish_1559844490_rgb.png</t>
  </si>
  <si>
    <t>dish_1559844506_rgb.png</t>
  </si>
  <si>
    <t>dish_1559844611_rgb.png</t>
  </si>
  <si>
    <t>dish_1559844657_rgb.png</t>
  </si>
  <si>
    <t>Potato</t>
  </si>
  <si>
    <t>dish_1559844683_rgb.png</t>
  </si>
  <si>
    <t>dish_1559844928_rgb.png</t>
  </si>
  <si>
    <t>dish_1559844951_rgb.png</t>
  </si>
  <si>
    <t>dish_1559845018_rgb.png</t>
  </si>
  <si>
    <t>dish_1559845046_rgb.png</t>
  </si>
  <si>
    <t>Roasted Potato</t>
  </si>
  <si>
    <t>dish_1559845290_rgb.png</t>
  </si>
  <si>
    <t>potato</t>
  </si>
  <si>
    <t>dish_1559845370_rgb.png</t>
  </si>
  <si>
    <t>dish_1559845399_rgb.png</t>
  </si>
  <si>
    <t>Sliced Strawberry</t>
  </si>
  <si>
    <t>dish_1559846034_rgb.png</t>
  </si>
  <si>
    <t>Broccoli florets</t>
  </si>
  <si>
    <t>dish_1559846073_rgb.png</t>
  </si>
  <si>
    <t>dish_1559846099_rgb.png</t>
  </si>
  <si>
    <t>dish_1559846334_rgb.png</t>
  </si>
  <si>
    <t>dish_1559846363_rgb.png</t>
  </si>
  <si>
    <t>dish_1559846450_rgb.png</t>
  </si>
  <si>
    <t>dish_1559846504_rgb.png</t>
  </si>
  <si>
    <t>dish_1559846528_rgb.png</t>
  </si>
  <si>
    <t>dish_1559846825_rgb.png</t>
  </si>
  <si>
    <t>pizza</t>
  </si>
  <si>
    <t>Pizza Dough</t>
  </si>
  <si>
    <t>dish_1559848857_rgb.png</t>
  </si>
  <si>
    <t>dish_1559848882_rgb.png</t>
  </si>
  <si>
    <t>dish_1559848929_rgb.png</t>
  </si>
  <si>
    <t>dish_1559849020_rgb.png</t>
  </si>
  <si>
    <t>dish_1559849053_rgb.png</t>
  </si>
  <si>
    <t>dish_1559849412_rgb.png</t>
  </si>
  <si>
    <t>dish_1559849497_rgb.png</t>
  </si>
  <si>
    <t>dish_1559849537_rgb.png</t>
  </si>
  <si>
    <t>dish_1559850283_rgb.png</t>
  </si>
  <si>
    <t>dish_1559925037_rgb.png</t>
  </si>
  <si>
    <t>Bacon strip</t>
  </si>
  <si>
    <t>dish_1559925174_rgb.png</t>
  </si>
  <si>
    <t>Strawberry + Blueberry + Blackberry</t>
  </si>
  <si>
    <t>dish_1559932674_rgb.png</t>
  </si>
  <si>
    <t>orange</t>
  </si>
  <si>
    <t>Orange</t>
  </si>
  <si>
    <t>salt</t>
  </si>
  <si>
    <t>Salt</t>
  </si>
  <si>
    <t>✅ High (Hidden)</t>
  </si>
  <si>
    <t>pepper</t>
  </si>
  <si>
    <t>Black pepper</t>
  </si>
  <si>
    <t>🟡 Contained (Hidden)</t>
  </si>
  <si>
    <t>olive oil</t>
  </si>
  <si>
    <t>Olive oil</t>
  </si>
  <si>
    <t>Brussels sprouts</t>
  </si>
  <si>
    <t>dish_1559933793_rgb.png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</si>
</sst>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1"/>
  <sheetViews>
    <sheetView tabSelected="1" topLeftCell="A112" workbookViewId="0">
      <selection activeCell="D138" sqref="D138:D141"/>
    </sheetView>
  </sheetViews>
  <sheetFormatPr defaultRowHeight="14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14</v>
      </c>
      <c r="C2" s="1">
        <v>10.8</v>
      </c>
      <c r="D2" s="1">
        <v>16.22</v>
      </c>
      <c r="E2" t="s">
        <v>15</v>
      </c>
      <c r="F2" t="s">
        <v>16</v>
      </c>
      <c r="G2">
        <v>100</v>
      </c>
      <c r="H2">
        <v>55</v>
      </c>
      <c r="I2">
        <v>30</v>
      </c>
      <c r="J2">
        <v>-25</v>
      </c>
      <c r="K2">
        <v>25</v>
      </c>
      <c r="L2">
        <v>-45.5</v>
      </c>
      <c r="M2" t="s">
        <v>17</v>
      </c>
    </row>
    <row r="3" spans="1:13" x14ac:dyDescent="0.25">
      <c r="A3" s="1"/>
      <c r="B3" s="1"/>
      <c r="C3" s="1"/>
      <c r="D3" s="1"/>
      <c r="E3" t="s">
        <v>18</v>
      </c>
      <c r="F3" t="s">
        <v>19</v>
      </c>
      <c r="G3">
        <v>57.1</v>
      </c>
      <c r="H3">
        <v>14</v>
      </c>
      <c r="I3">
        <v>30</v>
      </c>
      <c r="J3">
        <v>16</v>
      </c>
      <c r="K3">
        <v>16</v>
      </c>
      <c r="L3">
        <v>114.3</v>
      </c>
      <c r="M3" t="s">
        <v>20</v>
      </c>
    </row>
    <row r="4" spans="1:13" x14ac:dyDescent="0.25">
      <c r="A4" s="1"/>
      <c r="B4" s="1"/>
      <c r="C4" s="1"/>
      <c r="D4" s="1"/>
      <c r="E4" t="s">
        <v>21</v>
      </c>
      <c r="F4" t="s">
        <v>22</v>
      </c>
      <c r="G4">
        <v>75.900000000000006</v>
      </c>
      <c r="H4">
        <v>20</v>
      </c>
      <c r="I4">
        <v>20</v>
      </c>
      <c r="J4">
        <v>0</v>
      </c>
      <c r="K4">
        <v>0</v>
      </c>
      <c r="L4">
        <v>0</v>
      </c>
      <c r="M4" t="s">
        <v>20</v>
      </c>
    </row>
    <row r="5" spans="1:13" x14ac:dyDescent="0.25">
      <c r="A5" s="1"/>
      <c r="B5" s="1"/>
      <c r="C5" s="1"/>
      <c r="D5" s="1"/>
      <c r="E5" t="s">
        <v>23</v>
      </c>
      <c r="F5" t="s">
        <v>24</v>
      </c>
      <c r="G5">
        <v>76.900000000000006</v>
      </c>
      <c r="H5">
        <v>31</v>
      </c>
      <c r="I5">
        <v>40</v>
      </c>
      <c r="J5">
        <v>9</v>
      </c>
      <c r="K5">
        <v>9</v>
      </c>
      <c r="L5">
        <v>29</v>
      </c>
      <c r="M5" t="s">
        <v>20</v>
      </c>
    </row>
    <row r="6" spans="1:13" x14ac:dyDescent="0.25">
      <c r="A6" s="1"/>
      <c r="B6" s="1"/>
      <c r="C6" s="1"/>
      <c r="D6" s="1"/>
      <c r="E6" t="s">
        <v>25</v>
      </c>
      <c r="F6" t="s">
        <v>26</v>
      </c>
      <c r="G6">
        <v>94.1</v>
      </c>
      <c r="H6">
        <v>24</v>
      </c>
      <c r="I6">
        <v>20</v>
      </c>
      <c r="J6">
        <v>-4</v>
      </c>
      <c r="K6">
        <v>4</v>
      </c>
      <c r="L6">
        <v>-16.7</v>
      </c>
      <c r="M6" t="s">
        <v>17</v>
      </c>
    </row>
    <row r="7" spans="1:13" x14ac:dyDescent="0.25">
      <c r="A7" t="s">
        <v>27</v>
      </c>
      <c r="B7" t="s">
        <v>14</v>
      </c>
      <c r="C7">
        <v>1</v>
      </c>
      <c r="D7">
        <v>-1.5</v>
      </c>
      <c r="E7" t="s">
        <v>28</v>
      </c>
      <c r="F7" t="s">
        <v>29</v>
      </c>
      <c r="G7">
        <v>71.400000000000006</v>
      </c>
      <c r="H7">
        <v>66</v>
      </c>
      <c r="I7">
        <v>65</v>
      </c>
      <c r="J7">
        <v>-1</v>
      </c>
      <c r="K7">
        <v>1</v>
      </c>
      <c r="L7">
        <v>-1.5</v>
      </c>
      <c r="M7" t="s">
        <v>20</v>
      </c>
    </row>
    <row r="8" spans="1:13" x14ac:dyDescent="0.25">
      <c r="A8" s="1" t="s">
        <v>30</v>
      </c>
      <c r="B8" s="1" t="s">
        <v>14</v>
      </c>
      <c r="C8" s="1">
        <v>19</v>
      </c>
      <c r="D8" s="1">
        <v>-21.1</v>
      </c>
      <c r="E8" t="s">
        <v>31</v>
      </c>
      <c r="F8" t="s">
        <v>32</v>
      </c>
      <c r="G8">
        <v>44.4</v>
      </c>
      <c r="H8">
        <v>122</v>
      </c>
      <c r="I8">
        <v>100</v>
      </c>
      <c r="J8">
        <v>-22</v>
      </c>
      <c r="K8">
        <v>22</v>
      </c>
      <c r="L8">
        <v>-18</v>
      </c>
      <c r="M8" t="s">
        <v>20</v>
      </c>
    </row>
    <row r="9" spans="1:13" x14ac:dyDescent="0.25">
      <c r="A9" s="1"/>
      <c r="B9" s="1"/>
      <c r="C9" s="1"/>
      <c r="D9" s="1"/>
      <c r="E9" t="s">
        <v>28</v>
      </c>
      <c r="F9" t="s">
        <v>33</v>
      </c>
      <c r="G9">
        <v>71.400000000000006</v>
      </c>
      <c r="H9">
        <v>66</v>
      </c>
      <c r="I9">
        <v>50</v>
      </c>
      <c r="J9">
        <v>-16</v>
      </c>
      <c r="K9">
        <v>16</v>
      </c>
      <c r="L9">
        <v>-24.2</v>
      </c>
      <c r="M9" t="s">
        <v>20</v>
      </c>
    </row>
    <row r="10" spans="1:13" x14ac:dyDescent="0.25">
      <c r="A10" t="s">
        <v>34</v>
      </c>
      <c r="B10" t="s">
        <v>14</v>
      </c>
      <c r="C10">
        <v>0</v>
      </c>
      <c r="D10">
        <v>0</v>
      </c>
      <c r="E10" t="s">
        <v>35</v>
      </c>
      <c r="F10" t="s">
        <v>36</v>
      </c>
      <c r="G10">
        <v>100</v>
      </c>
      <c r="H10">
        <v>8</v>
      </c>
      <c r="I10">
        <v>8</v>
      </c>
      <c r="J10">
        <v>0</v>
      </c>
      <c r="K10">
        <v>0</v>
      </c>
      <c r="L10">
        <v>0</v>
      </c>
      <c r="M10" t="s">
        <v>17</v>
      </c>
    </row>
    <row r="11" spans="1:13" x14ac:dyDescent="0.25">
      <c r="A11" s="1" t="s">
        <v>37</v>
      </c>
      <c r="B11" s="1" t="s">
        <v>14</v>
      </c>
      <c r="C11" s="1">
        <v>11.5</v>
      </c>
      <c r="D11" s="1">
        <v>2.6</v>
      </c>
      <c r="E11" t="s">
        <v>35</v>
      </c>
      <c r="F11" t="s">
        <v>38</v>
      </c>
      <c r="G11">
        <v>62.5</v>
      </c>
      <c r="H11">
        <v>8</v>
      </c>
      <c r="I11">
        <v>10</v>
      </c>
      <c r="J11">
        <v>2</v>
      </c>
      <c r="K11">
        <v>2</v>
      </c>
      <c r="L11">
        <v>25</v>
      </c>
      <c r="M11" t="s">
        <v>20</v>
      </c>
    </row>
    <row r="12" spans="1:13" x14ac:dyDescent="0.25">
      <c r="A12" s="1"/>
      <c r="B12" s="1"/>
      <c r="C12" s="1"/>
      <c r="D12" s="1"/>
      <c r="E12" t="s">
        <v>28</v>
      </c>
      <c r="F12" t="s">
        <v>39</v>
      </c>
      <c r="G12">
        <v>71.400000000000006</v>
      </c>
      <c r="H12">
        <v>106</v>
      </c>
      <c r="I12">
        <v>85</v>
      </c>
      <c r="J12">
        <v>-21</v>
      </c>
      <c r="K12">
        <v>21</v>
      </c>
      <c r="L12">
        <v>-19.8</v>
      </c>
      <c r="M12" t="s">
        <v>20</v>
      </c>
    </row>
    <row r="13" spans="1:13" x14ac:dyDescent="0.25">
      <c r="A13" s="1" t="s">
        <v>40</v>
      </c>
      <c r="B13" s="1" t="s">
        <v>14</v>
      </c>
      <c r="C13" s="1">
        <v>4</v>
      </c>
      <c r="D13" s="1">
        <v>5.5</v>
      </c>
      <c r="E13" t="s">
        <v>41</v>
      </c>
      <c r="F13" t="s">
        <v>42</v>
      </c>
      <c r="G13">
        <v>100</v>
      </c>
      <c r="H13">
        <v>53</v>
      </c>
      <c r="I13">
        <v>60</v>
      </c>
      <c r="J13">
        <v>7</v>
      </c>
      <c r="K13">
        <v>7</v>
      </c>
      <c r="L13">
        <v>13.2</v>
      </c>
      <c r="M13" t="s">
        <v>17</v>
      </c>
    </row>
    <row r="14" spans="1:13" x14ac:dyDescent="0.25">
      <c r="A14" s="1"/>
      <c r="B14" s="1"/>
      <c r="C14" s="1"/>
      <c r="D14" s="1"/>
      <c r="E14" t="s">
        <v>43</v>
      </c>
      <c r="F14" t="s">
        <v>44</v>
      </c>
      <c r="G14">
        <v>50</v>
      </c>
      <c r="H14">
        <v>46</v>
      </c>
      <c r="I14">
        <v>45</v>
      </c>
      <c r="J14">
        <v>-1</v>
      </c>
      <c r="K14">
        <v>1</v>
      </c>
      <c r="L14">
        <v>-2.2000000000000002</v>
      </c>
      <c r="M14" t="s">
        <v>20</v>
      </c>
    </row>
    <row r="15" spans="1:13" x14ac:dyDescent="0.25">
      <c r="A15" t="s">
        <v>45</v>
      </c>
      <c r="B15" t="s">
        <v>14</v>
      </c>
      <c r="C15">
        <v>10</v>
      </c>
      <c r="D15">
        <v>200</v>
      </c>
      <c r="E15" t="s">
        <v>46</v>
      </c>
      <c r="F15" t="s">
        <v>47</v>
      </c>
      <c r="G15">
        <v>75</v>
      </c>
      <c r="H15">
        <v>5</v>
      </c>
      <c r="I15">
        <v>15</v>
      </c>
      <c r="J15">
        <v>10</v>
      </c>
      <c r="K15">
        <v>10</v>
      </c>
      <c r="L15">
        <v>200</v>
      </c>
      <c r="M15" t="s">
        <v>20</v>
      </c>
    </row>
    <row r="16" spans="1:13" x14ac:dyDescent="0.25">
      <c r="A16" s="1" t="s">
        <v>48</v>
      </c>
      <c r="B16" s="1"/>
      <c r="C16" s="1">
        <v>21</v>
      </c>
      <c r="D16" s="1">
        <v>98.7</v>
      </c>
      <c r="E16" t="s">
        <v>49</v>
      </c>
      <c r="F16" t="s">
        <v>50</v>
      </c>
      <c r="G16">
        <v>71.400000000000006</v>
      </c>
      <c r="H16">
        <v>38</v>
      </c>
      <c r="I16">
        <v>75</v>
      </c>
      <c r="J16">
        <v>37</v>
      </c>
      <c r="K16">
        <v>37</v>
      </c>
      <c r="L16">
        <v>97.4</v>
      </c>
      <c r="M16" t="s">
        <v>20</v>
      </c>
    </row>
    <row r="17" spans="1:13" x14ac:dyDescent="0.25">
      <c r="A17" s="1"/>
      <c r="B17" s="1"/>
      <c r="C17" s="1"/>
      <c r="D17" s="1"/>
      <c r="E17" t="s">
        <v>46</v>
      </c>
      <c r="F17" t="s">
        <v>47</v>
      </c>
      <c r="G17">
        <v>75</v>
      </c>
      <c r="H17">
        <v>5</v>
      </c>
      <c r="I17">
        <v>10</v>
      </c>
      <c r="J17">
        <v>5</v>
      </c>
      <c r="K17">
        <v>5</v>
      </c>
      <c r="L17">
        <v>100</v>
      </c>
      <c r="M17" t="s">
        <v>20</v>
      </c>
    </row>
    <row r="18" spans="1:13" x14ac:dyDescent="0.25">
      <c r="A18" s="1" t="s">
        <v>51</v>
      </c>
      <c r="B18" s="1"/>
      <c r="C18" s="1">
        <v>11</v>
      </c>
      <c r="D18" s="1">
        <v>115.8</v>
      </c>
      <c r="E18" t="s">
        <v>49</v>
      </c>
      <c r="F18" t="s">
        <v>50</v>
      </c>
      <c r="G18">
        <v>71.400000000000006</v>
      </c>
      <c r="H18">
        <v>38</v>
      </c>
      <c r="I18">
        <v>50</v>
      </c>
      <c r="J18">
        <v>12</v>
      </c>
      <c r="K18">
        <v>12</v>
      </c>
      <c r="L18">
        <v>31.6</v>
      </c>
      <c r="M18" t="s">
        <v>20</v>
      </c>
    </row>
    <row r="19" spans="1:13" x14ac:dyDescent="0.25">
      <c r="A19" s="1"/>
      <c r="B19" s="1"/>
      <c r="C19" s="1"/>
      <c r="D19" s="1"/>
      <c r="E19" t="s">
        <v>52</v>
      </c>
      <c r="F19" t="s">
        <v>53</v>
      </c>
      <c r="G19">
        <v>48</v>
      </c>
      <c r="H19">
        <v>53</v>
      </c>
      <c r="I19">
        <v>75</v>
      </c>
      <c r="J19" t="e">
        <f>G122-F122</f>
        <v>#VALUE!</v>
      </c>
      <c r="K19">
        <f>ABS(H122)</f>
        <v>53</v>
      </c>
      <c r="L19">
        <v>41.5</v>
      </c>
      <c r="M19" t="s">
        <v>54</v>
      </c>
    </row>
    <row r="20" spans="1:13" x14ac:dyDescent="0.25">
      <c r="A20" s="1"/>
      <c r="B20" s="1"/>
      <c r="C20" s="1"/>
      <c r="D20" s="1"/>
      <c r="E20" t="s">
        <v>46</v>
      </c>
      <c r="F20" t="s">
        <v>47</v>
      </c>
      <c r="G20">
        <v>75</v>
      </c>
      <c r="H20">
        <v>5</v>
      </c>
      <c r="I20">
        <v>15</v>
      </c>
      <c r="J20">
        <v>10</v>
      </c>
      <c r="K20">
        <v>10</v>
      </c>
      <c r="L20">
        <v>200</v>
      </c>
      <c r="M20" t="s">
        <v>20</v>
      </c>
    </row>
    <row r="21" spans="1:13" x14ac:dyDescent="0.25">
      <c r="A21" t="s">
        <v>55</v>
      </c>
      <c r="B21" t="s">
        <v>14</v>
      </c>
      <c r="C21">
        <v>23</v>
      </c>
      <c r="D21">
        <v>-11.4</v>
      </c>
      <c r="E21" t="s">
        <v>56</v>
      </c>
      <c r="F21" t="s">
        <v>57</v>
      </c>
      <c r="G21">
        <v>88.9</v>
      </c>
      <c r="H21">
        <v>201</v>
      </c>
      <c r="I21">
        <v>178</v>
      </c>
      <c r="J21">
        <v>-23</v>
      </c>
      <c r="K21">
        <v>23</v>
      </c>
      <c r="L21">
        <v>-11.4</v>
      </c>
      <c r="M21" t="s">
        <v>17</v>
      </c>
    </row>
    <row r="22" spans="1:13" x14ac:dyDescent="0.25">
      <c r="A22" s="1" t="s">
        <v>58</v>
      </c>
      <c r="B22" s="1"/>
      <c r="C22" s="1">
        <v>35</v>
      </c>
      <c r="D22" s="1">
        <v>0.7</v>
      </c>
      <c r="E22" t="s">
        <v>49</v>
      </c>
      <c r="F22" t="s">
        <v>59</v>
      </c>
      <c r="G22">
        <v>71.400000000000006</v>
      </c>
      <c r="H22">
        <v>71</v>
      </c>
      <c r="I22">
        <v>90</v>
      </c>
      <c r="J22">
        <v>19</v>
      </c>
      <c r="K22">
        <v>19</v>
      </c>
      <c r="L22">
        <v>26.8</v>
      </c>
      <c r="M22" t="s">
        <v>20</v>
      </c>
    </row>
    <row r="23" spans="1:13" x14ac:dyDescent="0.25">
      <c r="A23" s="1"/>
      <c r="B23" s="1"/>
      <c r="C23" s="1"/>
      <c r="D23" s="1"/>
      <c r="E23" t="s">
        <v>56</v>
      </c>
      <c r="F23" t="s">
        <v>57</v>
      </c>
      <c r="G23">
        <v>88.9</v>
      </c>
      <c r="H23">
        <v>201</v>
      </c>
      <c r="I23">
        <v>150</v>
      </c>
      <c r="J23">
        <v>-51</v>
      </c>
      <c r="K23">
        <v>51</v>
      </c>
      <c r="L23">
        <v>-25.4</v>
      </c>
      <c r="M23" t="s">
        <v>17</v>
      </c>
    </row>
    <row r="24" spans="1:13" x14ac:dyDescent="0.25">
      <c r="A24" s="1" t="s">
        <v>60</v>
      </c>
      <c r="B24" s="1"/>
      <c r="C24" s="1">
        <v>29.332999999999998</v>
      </c>
      <c r="D24" s="1">
        <v>19.2</v>
      </c>
      <c r="E24" t="s">
        <v>49</v>
      </c>
      <c r="F24" t="s">
        <v>50</v>
      </c>
      <c r="G24">
        <v>71.400000000000006</v>
      </c>
      <c r="H24">
        <v>71</v>
      </c>
      <c r="I24">
        <v>90</v>
      </c>
      <c r="J24">
        <v>19</v>
      </c>
      <c r="K24">
        <v>19</v>
      </c>
      <c r="L24">
        <v>26.8</v>
      </c>
      <c r="M24" t="s">
        <v>20</v>
      </c>
    </row>
    <row r="25" spans="1:13" x14ac:dyDescent="0.25">
      <c r="A25" s="1"/>
      <c r="B25" s="1"/>
      <c r="C25" s="1"/>
      <c r="D25" s="1"/>
      <c r="E25" t="s">
        <v>61</v>
      </c>
      <c r="F25" t="s">
        <v>62</v>
      </c>
      <c r="G25">
        <v>66.7</v>
      </c>
      <c r="H25">
        <v>32</v>
      </c>
      <c r="I25">
        <v>50</v>
      </c>
      <c r="J25">
        <v>18</v>
      </c>
      <c r="K25">
        <v>18</v>
      </c>
      <c r="L25">
        <v>56.2</v>
      </c>
      <c r="M25" t="s">
        <v>20</v>
      </c>
    </row>
    <row r="26" spans="1:13" x14ac:dyDescent="0.25">
      <c r="A26" s="1"/>
      <c r="B26" s="1"/>
      <c r="C26" s="1"/>
      <c r="D26" s="1"/>
      <c r="E26" t="s">
        <v>56</v>
      </c>
      <c r="F26" t="s">
        <v>57</v>
      </c>
      <c r="G26">
        <v>88.9</v>
      </c>
      <c r="H26">
        <v>201</v>
      </c>
      <c r="I26">
        <v>150</v>
      </c>
      <c r="J26">
        <v>-51</v>
      </c>
      <c r="K26">
        <v>51</v>
      </c>
      <c r="L26">
        <v>-25.4</v>
      </c>
      <c r="M26" t="s">
        <v>17</v>
      </c>
    </row>
    <row r="27" spans="1:13" x14ac:dyDescent="0.25">
      <c r="A27" t="s">
        <v>63</v>
      </c>
      <c r="B27" t="s">
        <v>14</v>
      </c>
      <c r="C27">
        <v>18</v>
      </c>
      <c r="D27">
        <v>56.2</v>
      </c>
      <c r="E27" t="s">
        <v>61</v>
      </c>
      <c r="F27" t="s">
        <v>64</v>
      </c>
      <c r="G27">
        <v>100</v>
      </c>
      <c r="H27">
        <v>32</v>
      </c>
      <c r="I27">
        <v>50</v>
      </c>
      <c r="J27">
        <v>18</v>
      </c>
      <c r="K27">
        <v>18</v>
      </c>
      <c r="L27">
        <v>56.2</v>
      </c>
      <c r="M27" t="s">
        <v>17</v>
      </c>
    </row>
    <row r="28" spans="1:13" x14ac:dyDescent="0.25">
      <c r="A28" s="1" t="s">
        <v>65</v>
      </c>
      <c r="B28" s="1"/>
      <c r="C28" s="1">
        <v>26.5</v>
      </c>
      <c r="D28" s="1">
        <v>61.1</v>
      </c>
      <c r="E28" t="s">
        <v>61</v>
      </c>
      <c r="F28" t="s">
        <v>64</v>
      </c>
      <c r="G28">
        <v>100</v>
      </c>
      <c r="H28">
        <v>32</v>
      </c>
      <c r="I28">
        <v>50</v>
      </c>
      <c r="J28">
        <v>18</v>
      </c>
      <c r="K28">
        <v>18</v>
      </c>
      <c r="L28">
        <v>56.2</v>
      </c>
      <c r="M28" t="s">
        <v>17</v>
      </c>
    </row>
    <row r="29" spans="1:13" x14ac:dyDescent="0.25">
      <c r="A29" s="1"/>
      <c r="B29" s="1"/>
      <c r="C29" s="1"/>
      <c r="D29" s="1"/>
      <c r="E29" t="s">
        <v>52</v>
      </c>
      <c r="F29" t="s">
        <v>66</v>
      </c>
      <c r="G29">
        <v>96.8</v>
      </c>
      <c r="H29">
        <v>53</v>
      </c>
      <c r="I29">
        <v>88</v>
      </c>
      <c r="J29">
        <v>35</v>
      </c>
      <c r="K29">
        <v>35</v>
      </c>
      <c r="L29">
        <v>66</v>
      </c>
      <c r="M29" t="s">
        <v>17</v>
      </c>
    </row>
    <row r="30" spans="1:13" x14ac:dyDescent="0.25">
      <c r="A30" s="1" t="s">
        <v>67</v>
      </c>
      <c r="B30" s="1"/>
      <c r="C30" s="1">
        <v>34</v>
      </c>
      <c r="D30" s="1">
        <v>15.6</v>
      </c>
      <c r="E30" t="s">
        <v>61</v>
      </c>
      <c r="F30" t="s">
        <v>64</v>
      </c>
      <c r="G30">
        <v>100</v>
      </c>
      <c r="H30">
        <v>32</v>
      </c>
      <c r="I30">
        <v>50</v>
      </c>
      <c r="J30">
        <v>18</v>
      </c>
      <c r="K30">
        <v>18</v>
      </c>
      <c r="L30">
        <v>56.2</v>
      </c>
      <c r="M30" t="s">
        <v>17</v>
      </c>
    </row>
    <row r="31" spans="1:13" x14ac:dyDescent="0.25">
      <c r="A31" s="1"/>
      <c r="B31" s="1"/>
      <c r="C31" s="1"/>
      <c r="D31" s="1"/>
      <c r="E31" t="s">
        <v>56</v>
      </c>
      <c r="F31" t="s">
        <v>57</v>
      </c>
      <c r="G31">
        <v>88.9</v>
      </c>
      <c r="H31">
        <v>200</v>
      </c>
      <c r="I31">
        <v>150</v>
      </c>
      <c r="J31">
        <v>-50</v>
      </c>
      <c r="K31">
        <v>50</v>
      </c>
      <c r="L31">
        <v>-25</v>
      </c>
      <c r="M31" t="s">
        <v>17</v>
      </c>
    </row>
    <row r="32" spans="1:13" x14ac:dyDescent="0.25">
      <c r="A32" s="1"/>
      <c r="B32" s="1"/>
      <c r="C32" s="1"/>
      <c r="D32" s="1"/>
      <c r="E32" t="s">
        <v>52</v>
      </c>
      <c r="F32" t="s">
        <v>53</v>
      </c>
      <c r="G32">
        <v>48</v>
      </c>
      <c r="H32">
        <v>53</v>
      </c>
      <c r="I32">
        <v>75</v>
      </c>
      <c r="J32" t="e">
        <f>G135-F135</f>
        <v>#VALUE!</v>
      </c>
      <c r="K32">
        <f>ABS(H135)</f>
        <v>10</v>
      </c>
      <c r="L32">
        <v>41.5</v>
      </c>
      <c r="M32" t="s">
        <v>54</v>
      </c>
    </row>
    <row r="33" spans="1:13" x14ac:dyDescent="0.25">
      <c r="A33" t="s">
        <v>68</v>
      </c>
      <c r="B33" t="s">
        <v>14</v>
      </c>
      <c r="C33">
        <v>23</v>
      </c>
      <c r="D33">
        <v>-43.4</v>
      </c>
      <c r="E33" t="s">
        <v>69</v>
      </c>
      <c r="F33" t="s">
        <v>70</v>
      </c>
      <c r="G33">
        <v>100</v>
      </c>
      <c r="H33">
        <v>53</v>
      </c>
      <c r="I33">
        <v>30</v>
      </c>
      <c r="J33">
        <v>-23</v>
      </c>
      <c r="K33">
        <v>23</v>
      </c>
      <c r="L33">
        <v>-43.4</v>
      </c>
      <c r="M33" t="s">
        <v>17</v>
      </c>
    </row>
    <row r="34" spans="1:13" x14ac:dyDescent="0.25">
      <c r="A34" s="1" t="s">
        <v>71</v>
      </c>
      <c r="B34" s="1"/>
      <c r="C34" s="1">
        <v>23</v>
      </c>
      <c r="D34" s="1">
        <v>-43.4</v>
      </c>
      <c r="E34" t="s">
        <v>69</v>
      </c>
      <c r="F34" t="s">
        <v>72</v>
      </c>
      <c r="G34">
        <v>92.3</v>
      </c>
      <c r="H34">
        <v>53</v>
      </c>
      <c r="I34">
        <v>30</v>
      </c>
      <c r="J34">
        <v>-23</v>
      </c>
      <c r="K34">
        <v>23</v>
      </c>
      <c r="L34">
        <v>-43.4</v>
      </c>
      <c r="M34" t="s">
        <v>17</v>
      </c>
    </row>
    <row r="35" spans="1:13" x14ac:dyDescent="0.25">
      <c r="A35" s="1"/>
      <c r="B35" s="1"/>
      <c r="C35" s="1"/>
      <c r="D35" s="1"/>
      <c r="E35" t="s">
        <v>52</v>
      </c>
      <c r="F35" t="s">
        <v>53</v>
      </c>
      <c r="G35">
        <v>48</v>
      </c>
      <c r="H35">
        <v>53</v>
      </c>
      <c r="I35">
        <v>88</v>
      </c>
      <c r="J35" t="e">
        <f>G138-F138</f>
        <v>#VALUE!</v>
      </c>
      <c r="K35">
        <f>ABS(H138)</f>
        <v>0.54612499999999997</v>
      </c>
      <c r="L35">
        <v>66</v>
      </c>
      <c r="M35" t="s">
        <v>54</v>
      </c>
    </row>
    <row r="36" spans="1:13" x14ac:dyDescent="0.25">
      <c r="A36" s="1" t="s">
        <v>73</v>
      </c>
      <c r="B36" s="1"/>
      <c r="C36" s="1">
        <v>18.5</v>
      </c>
      <c r="D36" s="1">
        <v>13.65</v>
      </c>
      <c r="E36" t="s">
        <v>69</v>
      </c>
      <c r="F36" t="s">
        <v>70</v>
      </c>
      <c r="G36">
        <v>100</v>
      </c>
      <c r="H36">
        <v>53</v>
      </c>
      <c r="I36">
        <v>35</v>
      </c>
      <c r="J36">
        <v>-18</v>
      </c>
      <c r="K36">
        <v>18</v>
      </c>
      <c r="L36">
        <v>-34</v>
      </c>
      <c r="M36" t="s">
        <v>17</v>
      </c>
    </row>
    <row r="37" spans="1:13" x14ac:dyDescent="0.25">
      <c r="A37" s="1"/>
      <c r="B37" s="1"/>
      <c r="C37" s="1"/>
      <c r="D37" s="1"/>
      <c r="E37" t="s">
        <v>52</v>
      </c>
      <c r="F37" t="s">
        <v>53</v>
      </c>
      <c r="G37">
        <v>48</v>
      </c>
      <c r="H37">
        <v>53</v>
      </c>
      <c r="I37">
        <v>80</v>
      </c>
      <c r="J37" t="e">
        <f>G140-F140</f>
        <v>#VALUE!</v>
      </c>
      <c r="K37">
        <f>ABS(H140)</f>
        <v>1.0922510000000001</v>
      </c>
      <c r="L37">
        <v>50.9</v>
      </c>
      <c r="M37" t="s">
        <v>54</v>
      </c>
    </row>
    <row r="38" spans="1:13" x14ac:dyDescent="0.25">
      <c r="A38" s="1"/>
      <c r="B38" s="1"/>
      <c r="C38" s="1"/>
      <c r="D38" s="1"/>
      <c r="E38" t="s">
        <v>61</v>
      </c>
      <c r="F38" t="s">
        <v>64</v>
      </c>
      <c r="G38">
        <v>100</v>
      </c>
      <c r="H38">
        <v>31</v>
      </c>
      <c r="I38">
        <v>50</v>
      </c>
      <c r="J38">
        <v>19</v>
      </c>
      <c r="K38">
        <v>19</v>
      </c>
      <c r="L38">
        <v>61.3</v>
      </c>
      <c r="M38" t="s">
        <v>17</v>
      </c>
    </row>
    <row r="39" spans="1:13" x14ac:dyDescent="0.25">
      <c r="A39" s="1" t="s">
        <v>74</v>
      </c>
      <c r="B39" s="1" t="s">
        <v>14</v>
      </c>
      <c r="C39" s="1">
        <v>16.332999999999998</v>
      </c>
      <c r="D39" s="1">
        <v>-0.433</v>
      </c>
      <c r="E39" t="s">
        <v>75</v>
      </c>
      <c r="F39" t="s">
        <v>76</v>
      </c>
      <c r="G39">
        <v>100</v>
      </c>
      <c r="H39">
        <v>42</v>
      </c>
      <c r="I39">
        <v>30</v>
      </c>
      <c r="J39">
        <v>-12</v>
      </c>
      <c r="K39">
        <v>12</v>
      </c>
      <c r="L39">
        <v>-28.6</v>
      </c>
      <c r="M39" t="s">
        <v>17</v>
      </c>
    </row>
    <row r="40" spans="1:13" x14ac:dyDescent="0.25">
      <c r="A40" s="1"/>
      <c r="B40" s="1"/>
      <c r="C40" s="1"/>
      <c r="D40" s="1"/>
      <c r="E40" t="s">
        <v>52</v>
      </c>
      <c r="F40" t="s">
        <v>53</v>
      </c>
      <c r="G40">
        <v>48</v>
      </c>
      <c r="H40">
        <v>53</v>
      </c>
      <c r="I40">
        <v>85</v>
      </c>
      <c r="J40">
        <f>G143-F143</f>
        <v>0</v>
      </c>
      <c r="K40">
        <f>ABS(H143)</f>
        <v>0</v>
      </c>
      <c r="L40">
        <v>60.4</v>
      </c>
      <c r="M40" t="s">
        <v>54</v>
      </c>
    </row>
    <row r="41" spans="1:13" x14ac:dyDescent="0.25">
      <c r="A41" s="1"/>
      <c r="B41" s="1"/>
      <c r="C41" s="1"/>
      <c r="D41" s="1"/>
      <c r="E41" t="s">
        <v>61</v>
      </c>
      <c r="F41" t="s">
        <v>64</v>
      </c>
      <c r="G41">
        <v>100</v>
      </c>
      <c r="H41">
        <v>31</v>
      </c>
      <c r="I41">
        <v>50</v>
      </c>
      <c r="J41">
        <v>19</v>
      </c>
      <c r="K41">
        <v>19</v>
      </c>
      <c r="L41">
        <v>61.3</v>
      </c>
      <c r="M41" t="s">
        <v>17</v>
      </c>
    </row>
    <row r="42" spans="1:13" x14ac:dyDescent="0.25">
      <c r="A42" s="1"/>
      <c r="B42" s="1"/>
      <c r="C42" s="1"/>
      <c r="D42" s="1"/>
      <c r="E42" t="s">
        <v>69</v>
      </c>
      <c r="F42" t="s">
        <v>70</v>
      </c>
      <c r="G42">
        <v>100</v>
      </c>
      <c r="H42">
        <v>53</v>
      </c>
      <c r="I42">
        <v>35</v>
      </c>
      <c r="J42">
        <v>-18</v>
      </c>
      <c r="K42">
        <v>18</v>
      </c>
      <c r="L42">
        <v>-34</v>
      </c>
      <c r="M42" t="s">
        <v>17</v>
      </c>
    </row>
    <row r="43" spans="1:13" x14ac:dyDescent="0.25">
      <c r="A43" t="s">
        <v>77</v>
      </c>
      <c r="B43" t="s">
        <v>14</v>
      </c>
      <c r="C43">
        <v>27</v>
      </c>
      <c r="D43">
        <v>-35.1</v>
      </c>
      <c r="E43" t="s">
        <v>75</v>
      </c>
      <c r="F43" t="s">
        <v>78</v>
      </c>
      <c r="G43">
        <v>100</v>
      </c>
      <c r="H43">
        <v>77</v>
      </c>
      <c r="I43">
        <v>50</v>
      </c>
      <c r="J43">
        <v>-27</v>
      </c>
      <c r="K43">
        <v>27</v>
      </c>
      <c r="L43">
        <v>-35.1</v>
      </c>
      <c r="M43" t="s">
        <v>17</v>
      </c>
    </row>
    <row r="44" spans="1:13" x14ac:dyDescent="0.25">
      <c r="A44" s="1" t="s">
        <v>79</v>
      </c>
      <c r="B44" s="1"/>
      <c r="C44" s="1">
        <v>5</v>
      </c>
      <c r="D44" s="1">
        <v>-6.5</v>
      </c>
      <c r="E44" t="s">
        <v>75</v>
      </c>
      <c r="F44" t="s">
        <v>80</v>
      </c>
      <c r="G44">
        <v>74.099999999999994</v>
      </c>
      <c r="H44">
        <v>77</v>
      </c>
      <c r="I44">
        <v>72</v>
      </c>
      <c r="J44">
        <v>-5</v>
      </c>
      <c r="K44">
        <v>5</v>
      </c>
      <c r="L44">
        <v>-6.5</v>
      </c>
      <c r="M44" t="s">
        <v>20</v>
      </c>
    </row>
    <row r="45" spans="1:13" x14ac:dyDescent="0.25">
      <c r="A45" s="1"/>
      <c r="B45" s="1"/>
      <c r="C45" s="1"/>
      <c r="D45" s="1"/>
      <c r="E45" t="s">
        <v>52</v>
      </c>
      <c r="F45" t="s">
        <v>53</v>
      </c>
      <c r="G45">
        <v>48</v>
      </c>
      <c r="H45">
        <v>53</v>
      </c>
      <c r="I45">
        <v>88</v>
      </c>
      <c r="J45">
        <f>G148-F148</f>
        <v>0</v>
      </c>
      <c r="K45">
        <f>ABS(H148)</f>
        <v>0</v>
      </c>
      <c r="L45">
        <v>66</v>
      </c>
      <c r="M45" t="s">
        <v>54</v>
      </c>
    </row>
    <row r="46" spans="1:13" x14ac:dyDescent="0.25">
      <c r="A46" s="1" t="s">
        <v>81</v>
      </c>
      <c r="B46" s="1"/>
      <c r="C46" s="1">
        <v>18</v>
      </c>
      <c r="D46" s="1">
        <v>19.600000000000001</v>
      </c>
      <c r="E46" t="s">
        <v>75</v>
      </c>
      <c r="F46" t="s">
        <v>80</v>
      </c>
      <c r="G46">
        <v>74.099999999999994</v>
      </c>
      <c r="H46">
        <v>77</v>
      </c>
      <c r="I46">
        <v>60</v>
      </c>
      <c r="J46">
        <v>-17</v>
      </c>
      <c r="K46">
        <v>17</v>
      </c>
      <c r="L46">
        <v>-22.1</v>
      </c>
      <c r="M46" t="s">
        <v>20</v>
      </c>
    </row>
    <row r="47" spans="1:13" x14ac:dyDescent="0.25">
      <c r="A47" s="1"/>
      <c r="B47" s="1"/>
      <c r="C47" s="1"/>
      <c r="D47" s="1"/>
      <c r="E47" t="s">
        <v>52</v>
      </c>
      <c r="F47" t="s">
        <v>53</v>
      </c>
      <c r="G47">
        <v>48</v>
      </c>
      <c r="H47">
        <v>53</v>
      </c>
      <c r="I47">
        <v>80</v>
      </c>
      <c r="J47">
        <f>G150-F150</f>
        <v>0</v>
      </c>
      <c r="K47">
        <f>ABS(H150)</f>
        <v>0</v>
      </c>
      <c r="L47">
        <v>50.9</v>
      </c>
      <c r="M47" t="s">
        <v>54</v>
      </c>
    </row>
    <row r="48" spans="1:13" x14ac:dyDescent="0.25">
      <c r="A48" s="1"/>
      <c r="B48" s="1"/>
      <c r="C48" s="1"/>
      <c r="D48" s="1"/>
      <c r="E48" t="s">
        <v>61</v>
      </c>
      <c r="F48" t="s">
        <v>62</v>
      </c>
      <c r="G48">
        <v>66.7</v>
      </c>
      <c r="H48">
        <v>31</v>
      </c>
      <c r="I48">
        <v>50</v>
      </c>
      <c r="J48">
        <v>19</v>
      </c>
      <c r="K48">
        <v>19</v>
      </c>
      <c r="L48">
        <v>61.3</v>
      </c>
      <c r="M48" t="s">
        <v>20</v>
      </c>
    </row>
    <row r="49" spans="1:13" x14ac:dyDescent="0.25">
      <c r="A49" s="1" t="s">
        <v>82</v>
      </c>
      <c r="B49" s="1" t="s">
        <v>14</v>
      </c>
      <c r="C49" s="1">
        <v>24.75</v>
      </c>
      <c r="D49" s="1">
        <v>16.425000000000001</v>
      </c>
      <c r="E49" t="s">
        <v>49</v>
      </c>
      <c r="F49" t="s">
        <v>50</v>
      </c>
      <c r="G49">
        <v>71.400000000000006</v>
      </c>
      <c r="H49">
        <v>68</v>
      </c>
      <c r="I49">
        <v>50</v>
      </c>
      <c r="J49">
        <v>-18</v>
      </c>
      <c r="K49">
        <v>18</v>
      </c>
      <c r="L49">
        <v>-26.5</v>
      </c>
      <c r="M49" t="s">
        <v>20</v>
      </c>
    </row>
    <row r="50" spans="1:13" x14ac:dyDescent="0.25">
      <c r="A50" s="1"/>
      <c r="B50" s="1"/>
      <c r="C50" s="1"/>
      <c r="D50" s="1"/>
      <c r="E50" t="s">
        <v>61</v>
      </c>
      <c r="F50" t="s">
        <v>62</v>
      </c>
      <c r="G50">
        <v>66.7</v>
      </c>
      <c r="H50">
        <v>31</v>
      </c>
      <c r="I50">
        <v>50</v>
      </c>
      <c r="J50">
        <v>19</v>
      </c>
      <c r="K50">
        <v>19</v>
      </c>
      <c r="L50">
        <v>61.3</v>
      </c>
      <c r="M50" t="s">
        <v>20</v>
      </c>
    </row>
    <row r="51" spans="1:13" x14ac:dyDescent="0.25">
      <c r="A51" s="1"/>
      <c r="B51" s="1"/>
      <c r="C51" s="1"/>
      <c r="D51" s="1"/>
      <c r="E51" t="s">
        <v>52</v>
      </c>
      <c r="F51" t="s">
        <v>66</v>
      </c>
      <c r="G51">
        <v>96.8</v>
      </c>
      <c r="H51">
        <v>53</v>
      </c>
      <c r="I51">
        <v>88</v>
      </c>
      <c r="J51">
        <v>35</v>
      </c>
      <c r="K51">
        <v>35</v>
      </c>
      <c r="L51">
        <v>66</v>
      </c>
      <c r="M51" t="s">
        <v>17</v>
      </c>
    </row>
    <row r="52" spans="1:13" x14ac:dyDescent="0.25">
      <c r="A52" s="1"/>
      <c r="B52" s="1"/>
      <c r="C52" s="1"/>
      <c r="D52" s="1"/>
      <c r="E52" t="s">
        <v>75</v>
      </c>
      <c r="F52" t="s">
        <v>80</v>
      </c>
      <c r="G52">
        <v>74.099999999999994</v>
      </c>
      <c r="H52">
        <v>77</v>
      </c>
      <c r="I52">
        <v>50</v>
      </c>
      <c r="J52">
        <v>-27</v>
      </c>
      <c r="K52">
        <v>27</v>
      </c>
      <c r="L52">
        <v>-35.1</v>
      </c>
      <c r="M52" t="s">
        <v>20</v>
      </c>
    </row>
    <row r="53" spans="1:13" x14ac:dyDescent="0.25">
      <c r="A53" t="s">
        <v>83</v>
      </c>
      <c r="B53" t="s">
        <v>14</v>
      </c>
      <c r="C53">
        <v>27</v>
      </c>
      <c r="D53">
        <v>-35.1</v>
      </c>
      <c r="E53" t="s">
        <v>75</v>
      </c>
      <c r="F53" t="s">
        <v>76</v>
      </c>
      <c r="G53">
        <v>100</v>
      </c>
      <c r="H53">
        <v>77</v>
      </c>
      <c r="I53">
        <v>50</v>
      </c>
      <c r="J53">
        <v>-27</v>
      </c>
      <c r="K53">
        <v>27</v>
      </c>
      <c r="L53">
        <v>-35.1</v>
      </c>
      <c r="M53" t="s">
        <v>17</v>
      </c>
    </row>
    <row r="54" spans="1:13" x14ac:dyDescent="0.25">
      <c r="A54" s="1" t="s">
        <v>84</v>
      </c>
      <c r="B54" s="1"/>
      <c r="C54" s="1">
        <v>29.5</v>
      </c>
      <c r="D54" s="1">
        <v>71.349999999999994</v>
      </c>
      <c r="E54" t="s">
        <v>61</v>
      </c>
      <c r="F54" t="s">
        <v>62</v>
      </c>
      <c r="G54">
        <v>66.7</v>
      </c>
      <c r="H54">
        <v>18</v>
      </c>
      <c r="I54">
        <v>50</v>
      </c>
      <c r="J54">
        <v>32</v>
      </c>
      <c r="K54">
        <v>32</v>
      </c>
      <c r="L54">
        <v>177.8</v>
      </c>
      <c r="M54" t="s">
        <v>20</v>
      </c>
    </row>
    <row r="55" spans="1:13" x14ac:dyDescent="0.25">
      <c r="A55" s="1"/>
      <c r="B55" s="1"/>
      <c r="C55" s="1"/>
      <c r="D55" s="1"/>
      <c r="E55" t="s">
        <v>75</v>
      </c>
      <c r="F55" t="s">
        <v>80</v>
      </c>
      <c r="G55">
        <v>74.099999999999994</v>
      </c>
      <c r="H55">
        <v>77</v>
      </c>
      <c r="I55">
        <v>50</v>
      </c>
      <c r="J55">
        <v>-27</v>
      </c>
      <c r="K55">
        <v>27</v>
      </c>
      <c r="L55">
        <v>-35.1</v>
      </c>
      <c r="M55" t="s">
        <v>20</v>
      </c>
    </row>
    <row r="56" spans="1:13" x14ac:dyDescent="0.25">
      <c r="A56" s="1" t="s">
        <v>85</v>
      </c>
      <c r="B56" s="1"/>
      <c r="C56" s="1">
        <v>15</v>
      </c>
      <c r="D56" s="1">
        <v>67.8</v>
      </c>
      <c r="E56" t="s">
        <v>75</v>
      </c>
      <c r="F56" t="s">
        <v>80</v>
      </c>
      <c r="G56">
        <v>74.099999999999994</v>
      </c>
      <c r="H56">
        <v>77</v>
      </c>
      <c r="I56">
        <v>75</v>
      </c>
      <c r="J56">
        <v>-2</v>
      </c>
      <c r="K56">
        <v>2</v>
      </c>
      <c r="L56">
        <v>-2.6</v>
      </c>
      <c r="M56" t="s">
        <v>20</v>
      </c>
    </row>
    <row r="57" spans="1:13" x14ac:dyDescent="0.25">
      <c r="A57" s="1"/>
      <c r="B57" s="1"/>
      <c r="C57" s="1"/>
      <c r="D57" s="1"/>
      <c r="E57" t="s">
        <v>86</v>
      </c>
      <c r="F57" t="s">
        <v>87</v>
      </c>
      <c r="G57">
        <v>60</v>
      </c>
      <c r="H57">
        <v>39</v>
      </c>
      <c r="I57">
        <v>50</v>
      </c>
      <c r="J57">
        <v>11</v>
      </c>
      <c r="K57">
        <v>11</v>
      </c>
      <c r="L57">
        <v>28.2</v>
      </c>
      <c r="M57" t="s">
        <v>20</v>
      </c>
    </row>
    <row r="58" spans="1:13" x14ac:dyDescent="0.25">
      <c r="A58" s="1"/>
      <c r="B58" s="1"/>
      <c r="C58" s="1"/>
      <c r="D58" s="1"/>
      <c r="E58" t="s">
        <v>61</v>
      </c>
      <c r="F58" t="s">
        <v>64</v>
      </c>
      <c r="G58">
        <v>100</v>
      </c>
      <c r="H58">
        <v>18</v>
      </c>
      <c r="I58">
        <v>50</v>
      </c>
      <c r="J58">
        <v>32</v>
      </c>
      <c r="K58">
        <v>32</v>
      </c>
      <c r="L58">
        <v>177.8</v>
      </c>
      <c r="M58" t="s">
        <v>17</v>
      </c>
    </row>
    <row r="59" spans="1:13" x14ac:dyDescent="0.25">
      <c r="A59" t="s">
        <v>88</v>
      </c>
      <c r="B59" t="s">
        <v>14</v>
      </c>
      <c r="C59">
        <v>27</v>
      </c>
      <c r="D59">
        <v>-35.1</v>
      </c>
      <c r="E59" t="s">
        <v>75</v>
      </c>
      <c r="F59" t="s">
        <v>89</v>
      </c>
      <c r="G59">
        <v>74.099999999999994</v>
      </c>
      <c r="H59">
        <v>77</v>
      </c>
      <c r="I59">
        <v>50</v>
      </c>
      <c r="J59">
        <v>-27</v>
      </c>
      <c r="K59">
        <v>27</v>
      </c>
      <c r="L59">
        <v>-35.1</v>
      </c>
      <c r="M59" t="s">
        <v>20</v>
      </c>
    </row>
    <row r="60" spans="1:13" x14ac:dyDescent="0.25">
      <c r="A60" s="1" t="s">
        <v>90</v>
      </c>
      <c r="B60" s="1" t="s">
        <v>14</v>
      </c>
      <c r="C60" s="1">
        <v>26</v>
      </c>
      <c r="D60" s="1">
        <v>-13.8</v>
      </c>
      <c r="E60" t="s">
        <v>75</v>
      </c>
      <c r="F60" t="s">
        <v>80</v>
      </c>
      <c r="G60">
        <v>74.099999999999994</v>
      </c>
      <c r="H60">
        <v>77</v>
      </c>
      <c r="I60">
        <v>75</v>
      </c>
      <c r="J60">
        <v>-2</v>
      </c>
      <c r="K60">
        <v>2</v>
      </c>
      <c r="L60">
        <v>-2.6</v>
      </c>
      <c r="M60" t="s">
        <v>20</v>
      </c>
    </row>
    <row r="61" spans="1:13" x14ac:dyDescent="0.25">
      <c r="A61" s="1"/>
      <c r="B61" s="1"/>
      <c r="C61" s="1"/>
      <c r="D61" s="1"/>
      <c r="E61" t="s">
        <v>56</v>
      </c>
      <c r="F61" t="s">
        <v>57</v>
      </c>
      <c r="G61">
        <v>88.9</v>
      </c>
      <c r="H61">
        <v>200</v>
      </c>
      <c r="I61">
        <v>150</v>
      </c>
      <c r="J61">
        <v>-50</v>
      </c>
      <c r="K61">
        <v>50</v>
      </c>
      <c r="L61">
        <v>-25</v>
      </c>
      <c r="M61" t="s">
        <v>17</v>
      </c>
    </row>
    <row r="62" spans="1:13" x14ac:dyDescent="0.25">
      <c r="A62" s="1"/>
      <c r="B62" s="1"/>
      <c r="C62" s="1"/>
      <c r="D62" s="1"/>
      <c r="E62" t="s">
        <v>52</v>
      </c>
      <c r="F62" t="s">
        <v>53</v>
      </c>
      <c r="G62">
        <v>48</v>
      </c>
      <c r="H62">
        <v>54</v>
      </c>
      <c r="I62">
        <v>75</v>
      </c>
      <c r="J62">
        <f>G171-F171</f>
        <v>0</v>
      </c>
      <c r="K62">
        <f>ABS(H171)</f>
        <v>0</v>
      </c>
      <c r="L62">
        <v>38.9</v>
      </c>
      <c r="M62" t="s">
        <v>54</v>
      </c>
    </row>
    <row r="63" spans="1:13" x14ac:dyDescent="0.25">
      <c r="A63" t="s">
        <v>91</v>
      </c>
      <c r="B63" t="s">
        <v>14</v>
      </c>
      <c r="C63">
        <v>52</v>
      </c>
      <c r="D63">
        <v>-65</v>
      </c>
      <c r="E63" t="s">
        <v>69</v>
      </c>
      <c r="F63" t="s">
        <v>70</v>
      </c>
      <c r="G63">
        <v>100</v>
      </c>
      <c r="H63">
        <v>80</v>
      </c>
      <c r="I63">
        <v>28</v>
      </c>
      <c r="J63">
        <v>-52</v>
      </c>
      <c r="K63">
        <v>52</v>
      </c>
      <c r="L63">
        <v>-65</v>
      </c>
      <c r="M63" t="s">
        <v>17</v>
      </c>
    </row>
    <row r="64" spans="1:13" x14ac:dyDescent="0.25">
      <c r="A64" s="1" t="s">
        <v>92</v>
      </c>
      <c r="B64" s="1" t="s">
        <v>14</v>
      </c>
      <c r="C64" s="1">
        <v>24.5</v>
      </c>
      <c r="D64" s="1">
        <v>-19.45</v>
      </c>
      <c r="E64" t="s">
        <v>49</v>
      </c>
      <c r="F64" t="s">
        <v>93</v>
      </c>
      <c r="G64">
        <v>100</v>
      </c>
      <c r="H64">
        <v>81</v>
      </c>
      <c r="I64">
        <v>90</v>
      </c>
      <c r="J64">
        <v>9</v>
      </c>
      <c r="K64">
        <v>9</v>
      </c>
      <c r="L64">
        <v>11.1</v>
      </c>
      <c r="M64" t="s">
        <v>17</v>
      </c>
    </row>
    <row r="65" spans="1:13" x14ac:dyDescent="0.25">
      <c r="A65" s="1"/>
      <c r="B65" s="1"/>
      <c r="C65" s="1"/>
      <c r="D65" s="1"/>
      <c r="E65" t="s">
        <v>69</v>
      </c>
      <c r="F65" t="s">
        <v>70</v>
      </c>
      <c r="G65">
        <v>100</v>
      </c>
      <c r="H65">
        <v>80</v>
      </c>
      <c r="I65">
        <v>40</v>
      </c>
      <c r="J65">
        <v>-40</v>
      </c>
      <c r="K65">
        <v>40</v>
      </c>
      <c r="L65">
        <v>-50</v>
      </c>
      <c r="M65" t="s">
        <v>17</v>
      </c>
    </row>
    <row r="66" spans="1:13" x14ac:dyDescent="0.25">
      <c r="A66" s="1" t="s">
        <v>94</v>
      </c>
      <c r="B66" s="1" t="s">
        <v>14</v>
      </c>
      <c r="C66" s="1">
        <v>22.667000000000002</v>
      </c>
      <c r="D66" s="1">
        <v>7.4669999999999996</v>
      </c>
      <c r="E66" t="s">
        <v>69</v>
      </c>
      <c r="F66" t="s">
        <v>69</v>
      </c>
      <c r="G66">
        <v>100</v>
      </c>
      <c r="H66">
        <v>80</v>
      </c>
      <c r="I66">
        <v>40</v>
      </c>
      <c r="J66">
        <v>-40</v>
      </c>
      <c r="K66">
        <v>40</v>
      </c>
      <c r="L66">
        <v>-50</v>
      </c>
      <c r="M66" t="s">
        <v>17</v>
      </c>
    </row>
    <row r="67" spans="1:13" x14ac:dyDescent="0.25">
      <c r="A67" s="1"/>
      <c r="B67" s="1"/>
      <c r="C67" s="1"/>
      <c r="D67" s="1"/>
      <c r="E67" t="s">
        <v>61</v>
      </c>
      <c r="F67" t="s">
        <v>61</v>
      </c>
      <c r="G67">
        <v>100</v>
      </c>
      <c r="H67">
        <v>31</v>
      </c>
      <c r="I67">
        <v>50</v>
      </c>
      <c r="J67">
        <v>19</v>
      </c>
      <c r="K67">
        <v>19</v>
      </c>
      <c r="L67">
        <v>61.3</v>
      </c>
      <c r="M67" t="s">
        <v>17</v>
      </c>
    </row>
    <row r="68" spans="1:13" x14ac:dyDescent="0.25">
      <c r="A68" s="1"/>
      <c r="B68" s="1"/>
      <c r="C68" s="1"/>
      <c r="D68" s="1"/>
      <c r="E68" t="s">
        <v>49</v>
      </c>
      <c r="F68" t="s">
        <v>95</v>
      </c>
      <c r="G68">
        <v>71.400000000000006</v>
      </c>
      <c r="H68">
        <v>81</v>
      </c>
      <c r="I68">
        <v>90</v>
      </c>
      <c r="J68">
        <v>9</v>
      </c>
      <c r="K68">
        <v>9</v>
      </c>
      <c r="L68">
        <v>11.1</v>
      </c>
      <c r="M68" t="s">
        <v>20</v>
      </c>
    </row>
    <row r="69" spans="1:13" x14ac:dyDescent="0.25">
      <c r="A69" t="s">
        <v>96</v>
      </c>
      <c r="B69" t="s">
        <v>14</v>
      </c>
      <c r="C69">
        <v>6</v>
      </c>
      <c r="D69">
        <v>-7.4</v>
      </c>
      <c r="E69" t="s">
        <v>49</v>
      </c>
      <c r="F69" t="s">
        <v>50</v>
      </c>
      <c r="G69">
        <v>71.400000000000006</v>
      </c>
      <c r="H69">
        <v>81</v>
      </c>
      <c r="I69">
        <v>75</v>
      </c>
      <c r="J69">
        <v>-6</v>
      </c>
      <c r="K69">
        <v>6</v>
      </c>
      <c r="L69">
        <v>-7.4</v>
      </c>
      <c r="M69" t="s">
        <v>20</v>
      </c>
    </row>
    <row r="70" spans="1:13" x14ac:dyDescent="0.25">
      <c r="A70" s="1" t="s">
        <v>97</v>
      </c>
      <c r="B70" s="1" t="s">
        <v>14</v>
      </c>
      <c r="C70" s="1">
        <v>19</v>
      </c>
      <c r="D70" s="1">
        <v>23.5</v>
      </c>
      <c r="E70" t="s">
        <v>52</v>
      </c>
      <c r="F70" t="s">
        <v>53</v>
      </c>
      <c r="G70">
        <v>48</v>
      </c>
      <c r="H70">
        <v>52</v>
      </c>
      <c r="I70">
        <v>74</v>
      </c>
      <c r="J70">
        <f>G183-F183</f>
        <v>0</v>
      </c>
      <c r="K70">
        <f>ABS(H183)</f>
        <v>0</v>
      </c>
      <c r="L70">
        <v>42.3</v>
      </c>
      <c r="M70" t="s">
        <v>54</v>
      </c>
    </row>
    <row r="71" spans="1:13" x14ac:dyDescent="0.25">
      <c r="A71" s="1"/>
      <c r="B71" s="1"/>
      <c r="C71" s="1"/>
      <c r="D71" s="1"/>
      <c r="E71" t="s">
        <v>49</v>
      </c>
      <c r="F71" t="s">
        <v>59</v>
      </c>
      <c r="G71">
        <v>71.400000000000006</v>
      </c>
      <c r="H71">
        <v>81</v>
      </c>
      <c r="I71">
        <v>100</v>
      </c>
      <c r="J71">
        <v>19</v>
      </c>
      <c r="K71">
        <v>19</v>
      </c>
      <c r="L71">
        <v>23.5</v>
      </c>
      <c r="M71" t="s">
        <v>20</v>
      </c>
    </row>
    <row r="72" spans="1:13" x14ac:dyDescent="0.25">
      <c r="A72" s="1" t="s">
        <v>98</v>
      </c>
      <c r="B72" s="1" t="s">
        <v>14</v>
      </c>
      <c r="C72" s="1">
        <v>9</v>
      </c>
      <c r="D72" s="1">
        <v>11.1</v>
      </c>
      <c r="E72" t="s">
        <v>49</v>
      </c>
      <c r="F72" t="s">
        <v>50</v>
      </c>
      <c r="G72">
        <v>71.400000000000006</v>
      </c>
      <c r="H72">
        <v>81</v>
      </c>
      <c r="I72">
        <v>90</v>
      </c>
      <c r="J72">
        <v>9</v>
      </c>
      <c r="K72">
        <v>9</v>
      </c>
      <c r="L72">
        <v>11.1</v>
      </c>
      <c r="M72" t="s">
        <v>20</v>
      </c>
    </row>
    <row r="73" spans="1:13" x14ac:dyDescent="0.25">
      <c r="A73" s="1"/>
      <c r="B73" s="1"/>
      <c r="C73" s="1"/>
      <c r="D73" s="1"/>
      <c r="E73" t="s">
        <v>52</v>
      </c>
      <c r="F73" t="s">
        <v>53</v>
      </c>
      <c r="G73">
        <v>48</v>
      </c>
      <c r="H73">
        <v>99</v>
      </c>
      <c r="I73">
        <v>75</v>
      </c>
      <c r="J73">
        <f>G186-F186</f>
        <v>0</v>
      </c>
      <c r="K73">
        <f>ABS(H186)</f>
        <v>0</v>
      </c>
      <c r="L73">
        <v>-24.2</v>
      </c>
      <c r="M73" t="s">
        <v>54</v>
      </c>
    </row>
    <row r="74" spans="1:13" x14ac:dyDescent="0.25">
      <c r="A74" s="1" t="s">
        <v>99</v>
      </c>
      <c r="B74" s="1" t="s">
        <v>14</v>
      </c>
      <c r="C74" s="1">
        <v>21</v>
      </c>
      <c r="D74" s="1">
        <v>-30.85</v>
      </c>
      <c r="E74" t="s">
        <v>52</v>
      </c>
      <c r="F74" t="s">
        <v>53</v>
      </c>
      <c r="G74">
        <v>48</v>
      </c>
      <c r="H74">
        <v>52</v>
      </c>
      <c r="I74">
        <v>74</v>
      </c>
      <c r="J74">
        <f>G187-F187</f>
        <v>0</v>
      </c>
      <c r="K74">
        <f>ABS(H187)</f>
        <v>0</v>
      </c>
      <c r="L74">
        <v>42.4</v>
      </c>
      <c r="M74" t="s">
        <v>54</v>
      </c>
    </row>
    <row r="75" spans="1:13" x14ac:dyDescent="0.25">
      <c r="A75" s="1"/>
      <c r="B75" s="1"/>
      <c r="C75" s="1"/>
      <c r="D75" s="1"/>
      <c r="E75" t="s">
        <v>49</v>
      </c>
      <c r="F75" t="s">
        <v>93</v>
      </c>
      <c r="G75">
        <v>100</v>
      </c>
      <c r="H75">
        <v>81</v>
      </c>
      <c r="I75">
        <v>50</v>
      </c>
      <c r="J75">
        <v>-31</v>
      </c>
      <c r="K75">
        <v>31</v>
      </c>
      <c r="L75">
        <v>-38.299999999999997</v>
      </c>
      <c r="M75" t="s">
        <v>17</v>
      </c>
    </row>
    <row r="76" spans="1:13" x14ac:dyDescent="0.25">
      <c r="A76" s="1"/>
      <c r="B76" s="1"/>
      <c r="C76" s="1"/>
      <c r="D76" s="1"/>
      <c r="E76" t="s">
        <v>75</v>
      </c>
      <c r="F76" t="s">
        <v>78</v>
      </c>
      <c r="G76">
        <v>100</v>
      </c>
      <c r="H76">
        <v>47</v>
      </c>
      <c r="I76">
        <v>36</v>
      </c>
      <c r="J76">
        <v>-11</v>
      </c>
      <c r="K76">
        <v>11</v>
      </c>
      <c r="L76">
        <v>-23.4</v>
      </c>
      <c r="M76" t="s">
        <v>17</v>
      </c>
    </row>
    <row r="77" spans="1:13" x14ac:dyDescent="0.25">
      <c r="A77" t="s">
        <v>100</v>
      </c>
      <c r="B77" t="s">
        <v>14</v>
      </c>
      <c r="C77">
        <v>11</v>
      </c>
      <c r="D77">
        <v>13.6</v>
      </c>
      <c r="E77" t="s">
        <v>49</v>
      </c>
      <c r="F77" t="s">
        <v>50</v>
      </c>
      <c r="G77">
        <v>71.400000000000006</v>
      </c>
      <c r="H77">
        <v>81</v>
      </c>
      <c r="I77">
        <v>92</v>
      </c>
      <c r="J77">
        <v>11</v>
      </c>
      <c r="K77">
        <v>11</v>
      </c>
      <c r="L77">
        <v>13.6</v>
      </c>
      <c r="M77" t="s">
        <v>20</v>
      </c>
    </row>
    <row r="78" spans="1:13" x14ac:dyDescent="0.25">
      <c r="A78" s="1" t="s">
        <v>101</v>
      </c>
      <c r="B78" s="1" t="s">
        <v>14</v>
      </c>
      <c r="C78" s="1">
        <v>41.5</v>
      </c>
      <c r="D78" s="1">
        <v>48.95</v>
      </c>
      <c r="E78" t="s">
        <v>86</v>
      </c>
      <c r="F78" t="s">
        <v>102</v>
      </c>
      <c r="G78">
        <v>100</v>
      </c>
      <c r="H78">
        <v>86</v>
      </c>
      <c r="I78">
        <v>150</v>
      </c>
      <c r="J78">
        <v>64</v>
      </c>
      <c r="K78">
        <v>64</v>
      </c>
      <c r="L78">
        <v>74.400000000000006</v>
      </c>
      <c r="M78" t="s">
        <v>17</v>
      </c>
    </row>
    <row r="79" spans="1:13" x14ac:dyDescent="0.25">
      <c r="A79" s="1"/>
      <c r="B79" s="1"/>
      <c r="C79" s="1"/>
      <c r="D79" s="1"/>
      <c r="E79" t="s">
        <v>49</v>
      </c>
      <c r="F79" t="s">
        <v>50</v>
      </c>
      <c r="G79">
        <v>71.400000000000006</v>
      </c>
      <c r="H79">
        <v>81</v>
      </c>
      <c r="I79">
        <v>100</v>
      </c>
      <c r="J79">
        <v>19</v>
      </c>
      <c r="K79">
        <v>19</v>
      </c>
      <c r="L79">
        <v>23.5</v>
      </c>
      <c r="M79" t="s">
        <v>20</v>
      </c>
    </row>
    <row r="80" spans="1:13" x14ac:dyDescent="0.25">
      <c r="A80" s="1" t="s">
        <v>103</v>
      </c>
      <c r="B80" s="1" t="s">
        <v>14</v>
      </c>
      <c r="C80" s="1">
        <v>44</v>
      </c>
      <c r="D80" s="1">
        <v>85.332999999999998</v>
      </c>
      <c r="E80" t="s">
        <v>61</v>
      </c>
      <c r="F80" t="s">
        <v>64</v>
      </c>
      <c r="G80">
        <v>100</v>
      </c>
      <c r="H80">
        <v>31</v>
      </c>
      <c r="I80">
        <v>80</v>
      </c>
      <c r="J80">
        <v>49</v>
      </c>
      <c r="K80">
        <v>49</v>
      </c>
      <c r="L80">
        <v>158.1</v>
      </c>
      <c r="M80" t="s">
        <v>17</v>
      </c>
    </row>
    <row r="81" spans="1:13" x14ac:dyDescent="0.25">
      <c r="A81" s="1"/>
      <c r="B81" s="1"/>
      <c r="C81" s="1"/>
      <c r="D81" s="1"/>
      <c r="E81" t="s">
        <v>86</v>
      </c>
      <c r="F81" t="s">
        <v>102</v>
      </c>
      <c r="G81">
        <v>100</v>
      </c>
      <c r="H81">
        <v>86</v>
      </c>
      <c r="I81">
        <v>150</v>
      </c>
      <c r="J81">
        <v>64</v>
      </c>
      <c r="K81">
        <v>64</v>
      </c>
      <c r="L81">
        <v>74.400000000000006</v>
      </c>
      <c r="M81" t="s">
        <v>17</v>
      </c>
    </row>
    <row r="82" spans="1:13" x14ac:dyDescent="0.25">
      <c r="A82" s="1"/>
      <c r="B82" s="1"/>
      <c r="C82" s="1"/>
      <c r="D82" s="1"/>
      <c r="E82" t="s">
        <v>49</v>
      </c>
      <c r="F82" t="s">
        <v>50</v>
      </c>
      <c r="G82">
        <v>71.400000000000006</v>
      </c>
      <c r="H82">
        <v>81</v>
      </c>
      <c r="I82">
        <v>100</v>
      </c>
      <c r="J82">
        <v>19</v>
      </c>
      <c r="K82">
        <v>19</v>
      </c>
      <c r="L82">
        <v>23.5</v>
      </c>
      <c r="M82" t="s">
        <v>20</v>
      </c>
    </row>
    <row r="83" spans="1:13" x14ac:dyDescent="0.25">
      <c r="A83" t="s">
        <v>104</v>
      </c>
      <c r="B83" t="s">
        <v>14</v>
      </c>
      <c r="C83">
        <v>64</v>
      </c>
      <c r="D83">
        <v>74.400000000000006</v>
      </c>
      <c r="E83" t="s">
        <v>86</v>
      </c>
      <c r="F83" t="s">
        <v>102</v>
      </c>
      <c r="G83">
        <v>100</v>
      </c>
      <c r="H83">
        <v>86</v>
      </c>
      <c r="I83">
        <v>150</v>
      </c>
      <c r="J83">
        <v>64</v>
      </c>
      <c r="K83">
        <v>64</v>
      </c>
      <c r="L83">
        <v>74.400000000000006</v>
      </c>
      <c r="M83" t="s">
        <v>17</v>
      </c>
    </row>
    <row r="84" spans="1:13" x14ac:dyDescent="0.25">
      <c r="A84" s="1" t="s">
        <v>105</v>
      </c>
      <c r="B84" s="1" t="s">
        <v>14</v>
      </c>
      <c r="C84" s="1">
        <v>10</v>
      </c>
      <c r="D84" s="1">
        <v>-0.2</v>
      </c>
      <c r="E84" t="s">
        <v>69</v>
      </c>
      <c r="F84" t="s">
        <v>70</v>
      </c>
      <c r="G84">
        <v>100</v>
      </c>
      <c r="H84">
        <v>36</v>
      </c>
      <c r="I84">
        <v>30</v>
      </c>
      <c r="J84">
        <v>-6</v>
      </c>
      <c r="K84">
        <v>6</v>
      </c>
      <c r="L84">
        <v>-16.7</v>
      </c>
      <c r="M84" t="s">
        <v>17</v>
      </c>
    </row>
    <row r="85" spans="1:13" x14ac:dyDescent="0.25">
      <c r="A85" s="1"/>
      <c r="B85" s="1"/>
      <c r="C85" s="1"/>
      <c r="D85" s="1"/>
      <c r="E85" t="s">
        <v>86</v>
      </c>
      <c r="F85" t="s">
        <v>87</v>
      </c>
      <c r="G85">
        <v>60</v>
      </c>
      <c r="H85">
        <v>86</v>
      </c>
      <c r="I85">
        <v>100</v>
      </c>
      <c r="J85">
        <v>14</v>
      </c>
      <c r="K85">
        <v>14</v>
      </c>
      <c r="L85">
        <v>16.3</v>
      </c>
      <c r="M85" t="s">
        <v>20</v>
      </c>
    </row>
    <row r="86" spans="1:13" x14ac:dyDescent="0.25">
      <c r="A86" s="1" t="s">
        <v>106</v>
      </c>
      <c r="B86" s="1" t="s">
        <v>14</v>
      </c>
      <c r="C86" s="1">
        <v>10</v>
      </c>
      <c r="D86" s="1">
        <v>-0.2</v>
      </c>
      <c r="E86" t="s">
        <v>69</v>
      </c>
      <c r="F86" t="s">
        <v>70</v>
      </c>
      <c r="G86">
        <v>100</v>
      </c>
      <c r="H86">
        <v>36</v>
      </c>
      <c r="I86">
        <v>30</v>
      </c>
      <c r="J86">
        <v>-6</v>
      </c>
      <c r="K86">
        <v>6</v>
      </c>
      <c r="L86">
        <v>-16.7</v>
      </c>
      <c r="M86" t="s">
        <v>17</v>
      </c>
    </row>
    <row r="87" spans="1:13" x14ac:dyDescent="0.25">
      <c r="A87" s="1"/>
      <c r="B87" s="1"/>
      <c r="C87" s="1"/>
      <c r="D87" s="1"/>
      <c r="E87" t="s">
        <v>52</v>
      </c>
      <c r="F87" t="s">
        <v>53</v>
      </c>
      <c r="G87">
        <v>48</v>
      </c>
      <c r="H87">
        <v>53</v>
      </c>
      <c r="I87">
        <v>75</v>
      </c>
      <c r="J87">
        <f>G200-F200</f>
        <v>0</v>
      </c>
      <c r="K87">
        <f>ABS(H200)</f>
        <v>0</v>
      </c>
      <c r="L87">
        <v>41.5</v>
      </c>
      <c r="M87" t="s">
        <v>54</v>
      </c>
    </row>
    <row r="88" spans="1:13" x14ac:dyDescent="0.25">
      <c r="A88" s="1"/>
      <c r="B88" s="1"/>
      <c r="C88" s="1"/>
      <c r="D88" s="1"/>
      <c r="E88" t="s">
        <v>86</v>
      </c>
      <c r="F88" t="s">
        <v>87</v>
      </c>
      <c r="G88">
        <v>60</v>
      </c>
      <c r="H88">
        <v>86</v>
      </c>
      <c r="I88">
        <v>100</v>
      </c>
      <c r="J88">
        <v>14</v>
      </c>
      <c r="K88">
        <v>14</v>
      </c>
      <c r="L88">
        <v>16.3</v>
      </c>
      <c r="M88" t="s">
        <v>20</v>
      </c>
    </row>
    <row r="89" spans="1:13" x14ac:dyDescent="0.25">
      <c r="A89" s="1" t="s">
        <v>107</v>
      </c>
      <c r="B89" s="1" t="s">
        <v>14</v>
      </c>
      <c r="C89" s="1">
        <v>12.667</v>
      </c>
      <c r="D89" s="1">
        <v>42.5</v>
      </c>
      <c r="E89" t="s">
        <v>86</v>
      </c>
      <c r="F89" t="s">
        <v>108</v>
      </c>
      <c r="G89">
        <v>60</v>
      </c>
      <c r="H89">
        <v>86</v>
      </c>
      <c r="I89">
        <v>100</v>
      </c>
      <c r="J89">
        <v>14</v>
      </c>
      <c r="K89">
        <v>14</v>
      </c>
      <c r="L89">
        <v>16.3</v>
      </c>
      <c r="M89" t="s">
        <v>20</v>
      </c>
    </row>
    <row r="90" spans="1:13" x14ac:dyDescent="0.25">
      <c r="A90" s="1"/>
      <c r="B90" s="1"/>
      <c r="C90" s="1"/>
      <c r="D90" s="1"/>
      <c r="E90" t="s">
        <v>52</v>
      </c>
      <c r="F90" t="s">
        <v>53</v>
      </c>
      <c r="G90">
        <v>48</v>
      </c>
      <c r="H90">
        <v>53</v>
      </c>
      <c r="I90">
        <v>80</v>
      </c>
      <c r="J90">
        <f>G203-F203</f>
        <v>0</v>
      </c>
      <c r="K90">
        <f>ABS(H203)</f>
        <v>0</v>
      </c>
      <c r="L90">
        <v>50.9</v>
      </c>
      <c r="M90" t="s">
        <v>54</v>
      </c>
    </row>
    <row r="91" spans="1:13" x14ac:dyDescent="0.25">
      <c r="A91" s="1"/>
      <c r="B91" s="1"/>
      <c r="C91" s="1"/>
      <c r="D91" s="1"/>
      <c r="E91" t="s">
        <v>61</v>
      </c>
      <c r="F91" t="s">
        <v>64</v>
      </c>
      <c r="G91">
        <v>100</v>
      </c>
      <c r="H91">
        <v>32</v>
      </c>
      <c r="I91">
        <v>50</v>
      </c>
      <c r="J91">
        <v>18</v>
      </c>
      <c r="K91">
        <v>18</v>
      </c>
      <c r="L91">
        <v>50.9</v>
      </c>
      <c r="M91" t="s">
        <v>17</v>
      </c>
    </row>
    <row r="92" spans="1:13" x14ac:dyDescent="0.25">
      <c r="A92" s="1"/>
      <c r="B92" s="1"/>
      <c r="C92" s="1"/>
      <c r="D92" s="1"/>
      <c r="E92" t="s">
        <v>69</v>
      </c>
      <c r="F92" t="s">
        <v>70</v>
      </c>
      <c r="G92">
        <v>100</v>
      </c>
      <c r="H92">
        <v>36</v>
      </c>
      <c r="I92">
        <v>30</v>
      </c>
      <c r="J92">
        <v>-6</v>
      </c>
      <c r="K92">
        <v>6</v>
      </c>
      <c r="L92">
        <v>60.3</v>
      </c>
      <c r="M92" t="s">
        <v>17</v>
      </c>
    </row>
    <row r="93" spans="1:13" x14ac:dyDescent="0.25">
      <c r="A93" t="s">
        <v>109</v>
      </c>
      <c r="B93" t="s">
        <v>14</v>
      </c>
      <c r="C93">
        <v>64</v>
      </c>
      <c r="D93">
        <v>50.9</v>
      </c>
      <c r="E93" t="s">
        <v>86</v>
      </c>
      <c r="F93" t="s">
        <v>110</v>
      </c>
      <c r="G93">
        <v>100</v>
      </c>
      <c r="H93">
        <v>86</v>
      </c>
      <c r="I93">
        <v>150</v>
      </c>
      <c r="J93">
        <v>64</v>
      </c>
      <c r="K93">
        <v>64</v>
      </c>
      <c r="L93">
        <v>50.9</v>
      </c>
      <c r="M93" t="s">
        <v>17</v>
      </c>
    </row>
    <row r="94" spans="1:13" x14ac:dyDescent="0.25">
      <c r="A94" s="1" t="s">
        <v>111</v>
      </c>
      <c r="B94" s="1" t="s">
        <v>14</v>
      </c>
      <c r="C94" s="1">
        <v>64</v>
      </c>
      <c r="D94" s="1">
        <v>74.400000000000006</v>
      </c>
      <c r="E94" t="s">
        <v>86</v>
      </c>
      <c r="F94" t="s">
        <v>102</v>
      </c>
      <c r="G94">
        <v>100</v>
      </c>
      <c r="H94">
        <v>86</v>
      </c>
      <c r="I94">
        <v>150</v>
      </c>
      <c r="J94">
        <v>64</v>
      </c>
      <c r="K94">
        <v>64</v>
      </c>
      <c r="L94">
        <v>74.400000000000006</v>
      </c>
      <c r="M94" t="s">
        <v>17</v>
      </c>
    </row>
    <row r="95" spans="1:13" x14ac:dyDescent="0.25">
      <c r="A95" s="1"/>
      <c r="B95" s="1"/>
      <c r="C95" s="1"/>
      <c r="D95" s="1"/>
      <c r="E95" t="s">
        <v>52</v>
      </c>
      <c r="F95" t="s">
        <v>53</v>
      </c>
      <c r="G95">
        <v>48</v>
      </c>
      <c r="H95">
        <v>53</v>
      </c>
      <c r="I95">
        <v>80</v>
      </c>
      <c r="J95">
        <f>G208-F208</f>
        <v>0</v>
      </c>
      <c r="K95">
        <f>ABS(H208)</f>
        <v>0</v>
      </c>
      <c r="L95">
        <v>50.9</v>
      </c>
      <c r="M95" t="s">
        <v>54</v>
      </c>
    </row>
    <row r="96" spans="1:13" x14ac:dyDescent="0.25">
      <c r="A96" s="1" t="s">
        <v>112</v>
      </c>
      <c r="B96" s="1" t="s">
        <v>14</v>
      </c>
      <c r="C96" s="1">
        <v>16.5</v>
      </c>
      <c r="D96" s="1">
        <v>50.9</v>
      </c>
      <c r="E96" t="s">
        <v>86</v>
      </c>
      <c r="F96" t="s">
        <v>102</v>
      </c>
      <c r="G96">
        <v>100</v>
      </c>
      <c r="H96">
        <v>86</v>
      </c>
      <c r="I96">
        <v>100</v>
      </c>
      <c r="J96">
        <v>14</v>
      </c>
      <c r="K96">
        <v>14</v>
      </c>
      <c r="L96">
        <v>50.9</v>
      </c>
      <c r="M96" t="s">
        <v>17</v>
      </c>
    </row>
    <row r="97" spans="1:13" x14ac:dyDescent="0.25">
      <c r="A97" s="1"/>
      <c r="B97" s="1"/>
      <c r="C97" s="1"/>
      <c r="D97" s="1"/>
      <c r="E97" t="s">
        <v>52</v>
      </c>
      <c r="F97" t="s">
        <v>53</v>
      </c>
      <c r="G97">
        <v>48</v>
      </c>
      <c r="H97">
        <v>53</v>
      </c>
      <c r="I97">
        <v>85</v>
      </c>
      <c r="J97">
        <f>G210-F210</f>
        <v>0</v>
      </c>
      <c r="K97">
        <f>ABS(H210)</f>
        <v>0</v>
      </c>
      <c r="L97">
        <v>60.3</v>
      </c>
      <c r="M97" t="s">
        <v>54</v>
      </c>
    </row>
    <row r="98" spans="1:13" x14ac:dyDescent="0.25">
      <c r="A98" s="1"/>
      <c r="B98" s="1"/>
      <c r="C98" s="1"/>
      <c r="D98" s="1"/>
      <c r="E98" t="s">
        <v>75</v>
      </c>
      <c r="F98" t="s">
        <v>113</v>
      </c>
      <c r="G98">
        <v>74.099999999999994</v>
      </c>
      <c r="H98">
        <v>39</v>
      </c>
      <c r="I98">
        <v>20</v>
      </c>
      <c r="J98">
        <v>-19</v>
      </c>
      <c r="K98">
        <v>19</v>
      </c>
      <c r="L98">
        <v>50.9</v>
      </c>
      <c r="M98" t="s">
        <v>20</v>
      </c>
    </row>
    <row r="99" spans="1:13" x14ac:dyDescent="0.25">
      <c r="A99" t="s">
        <v>114</v>
      </c>
      <c r="B99" t="s">
        <v>14</v>
      </c>
      <c r="C99">
        <v>18</v>
      </c>
      <c r="D99">
        <v>56.2</v>
      </c>
      <c r="E99" t="s">
        <v>61</v>
      </c>
      <c r="F99" t="s">
        <v>115</v>
      </c>
      <c r="G99">
        <v>66.7</v>
      </c>
      <c r="H99">
        <v>32</v>
      </c>
      <c r="I99">
        <v>50</v>
      </c>
      <c r="J99">
        <v>18</v>
      </c>
      <c r="K99">
        <v>18</v>
      </c>
      <c r="L99">
        <v>56.2</v>
      </c>
      <c r="M99" t="s">
        <v>20</v>
      </c>
    </row>
    <row r="100" spans="1:13" x14ac:dyDescent="0.25">
      <c r="A100" s="1" t="s">
        <v>116</v>
      </c>
      <c r="B100" s="1" t="s">
        <v>14</v>
      </c>
      <c r="C100" s="1">
        <v>18</v>
      </c>
      <c r="D100" s="1">
        <v>56.2</v>
      </c>
      <c r="E100" t="s">
        <v>52</v>
      </c>
      <c r="F100" t="s">
        <v>53</v>
      </c>
      <c r="G100">
        <v>48</v>
      </c>
      <c r="H100">
        <v>53</v>
      </c>
      <c r="I100">
        <v>88</v>
      </c>
      <c r="J100">
        <f>G222-F222</f>
        <v>0</v>
      </c>
      <c r="K100">
        <f>ABS(H222)</f>
        <v>0</v>
      </c>
      <c r="L100">
        <v>66</v>
      </c>
      <c r="M100" t="s">
        <v>54</v>
      </c>
    </row>
    <row r="101" spans="1:13" x14ac:dyDescent="0.25">
      <c r="A101" s="1"/>
      <c r="B101" s="1"/>
      <c r="C101" s="1"/>
      <c r="D101" s="1"/>
      <c r="E101" t="s">
        <v>61</v>
      </c>
      <c r="F101" t="s">
        <v>64</v>
      </c>
      <c r="G101">
        <v>100</v>
      </c>
      <c r="H101">
        <v>32</v>
      </c>
      <c r="I101">
        <v>50</v>
      </c>
      <c r="J101">
        <v>18</v>
      </c>
      <c r="K101">
        <v>18</v>
      </c>
      <c r="L101">
        <v>56.2</v>
      </c>
      <c r="M101" t="s">
        <v>17</v>
      </c>
    </row>
    <row r="102" spans="1:13" x14ac:dyDescent="0.25">
      <c r="A102" s="1" t="s">
        <v>117</v>
      </c>
      <c r="B102" s="1" t="s">
        <v>14</v>
      </c>
      <c r="C102" s="1">
        <v>23.5</v>
      </c>
      <c r="D102" s="1">
        <v>70.2</v>
      </c>
      <c r="E102" t="s">
        <v>52</v>
      </c>
      <c r="F102" t="s">
        <v>53</v>
      </c>
      <c r="G102">
        <v>48</v>
      </c>
      <c r="H102">
        <v>53</v>
      </c>
      <c r="I102">
        <v>88</v>
      </c>
      <c r="J102">
        <f>G224-F224</f>
        <v>0</v>
      </c>
      <c r="K102">
        <f>ABS(H224)</f>
        <v>0</v>
      </c>
      <c r="L102">
        <v>66</v>
      </c>
      <c r="M102" t="s">
        <v>54</v>
      </c>
    </row>
    <row r="103" spans="1:13" x14ac:dyDescent="0.25">
      <c r="A103" s="1"/>
      <c r="B103" s="1"/>
      <c r="C103" s="1"/>
      <c r="D103" s="1"/>
      <c r="E103" t="s">
        <v>69</v>
      </c>
      <c r="F103" t="s">
        <v>70</v>
      </c>
      <c r="G103">
        <v>100</v>
      </c>
      <c r="H103">
        <v>29</v>
      </c>
      <c r="I103">
        <v>28</v>
      </c>
      <c r="J103">
        <v>-1</v>
      </c>
      <c r="K103">
        <v>1</v>
      </c>
      <c r="L103">
        <v>-3.4</v>
      </c>
      <c r="M103" t="s">
        <v>17</v>
      </c>
    </row>
    <row r="104" spans="1:13" x14ac:dyDescent="0.25">
      <c r="A104" s="1"/>
      <c r="B104" s="1"/>
      <c r="C104" s="1"/>
      <c r="D104" s="1"/>
      <c r="E104" t="s">
        <v>61</v>
      </c>
      <c r="F104" t="s">
        <v>64</v>
      </c>
      <c r="G104">
        <v>100</v>
      </c>
      <c r="H104">
        <v>32</v>
      </c>
      <c r="I104">
        <v>78</v>
      </c>
      <c r="J104">
        <v>46</v>
      </c>
      <c r="K104">
        <v>46</v>
      </c>
      <c r="L104">
        <v>143.80000000000001</v>
      </c>
      <c r="M104" t="s">
        <v>17</v>
      </c>
    </row>
    <row r="105" spans="1:13" x14ac:dyDescent="0.25">
      <c r="A105" s="1" t="s">
        <v>118</v>
      </c>
      <c r="B105" s="1" t="s">
        <v>14</v>
      </c>
      <c r="C105" s="1">
        <v>34.5</v>
      </c>
      <c r="D105" s="1">
        <v>15.4</v>
      </c>
      <c r="E105" t="s">
        <v>56</v>
      </c>
      <c r="F105" t="s">
        <v>57</v>
      </c>
      <c r="G105">
        <v>88.9</v>
      </c>
      <c r="H105">
        <v>201</v>
      </c>
      <c r="I105">
        <v>150</v>
      </c>
      <c r="J105">
        <v>-51</v>
      </c>
      <c r="K105">
        <v>51</v>
      </c>
      <c r="L105">
        <v>-25.4</v>
      </c>
      <c r="M105" t="s">
        <v>17</v>
      </c>
    </row>
    <row r="106" spans="1:13" x14ac:dyDescent="0.25">
      <c r="A106" s="1"/>
      <c r="B106" s="1"/>
      <c r="C106" s="1"/>
      <c r="D106" s="1"/>
      <c r="E106" t="s">
        <v>61</v>
      </c>
      <c r="F106" t="s">
        <v>64</v>
      </c>
      <c r="G106">
        <v>100</v>
      </c>
      <c r="H106">
        <v>32</v>
      </c>
      <c r="I106">
        <v>50</v>
      </c>
      <c r="J106">
        <v>18</v>
      </c>
      <c r="K106">
        <v>18</v>
      </c>
      <c r="L106">
        <v>56.2</v>
      </c>
      <c r="M106" t="s">
        <v>17</v>
      </c>
    </row>
    <row r="107" spans="1:13" x14ac:dyDescent="0.25">
      <c r="A107" s="1" t="s">
        <v>119</v>
      </c>
      <c r="B107" s="1" t="s">
        <v>14</v>
      </c>
      <c r="C107" s="1">
        <v>34.5</v>
      </c>
      <c r="D107" s="1">
        <v>15.4</v>
      </c>
      <c r="E107" t="s">
        <v>61</v>
      </c>
      <c r="F107" t="s">
        <v>64</v>
      </c>
      <c r="G107">
        <v>100</v>
      </c>
      <c r="H107">
        <v>32</v>
      </c>
      <c r="I107">
        <v>50</v>
      </c>
      <c r="J107">
        <v>18</v>
      </c>
      <c r="K107">
        <v>18</v>
      </c>
      <c r="L107">
        <v>56.2</v>
      </c>
      <c r="M107" t="s">
        <v>17</v>
      </c>
    </row>
    <row r="108" spans="1:13" x14ac:dyDescent="0.25">
      <c r="A108" s="1"/>
      <c r="B108" s="1"/>
      <c r="C108" s="1"/>
      <c r="D108" s="1"/>
      <c r="E108" t="s">
        <v>56</v>
      </c>
      <c r="F108" t="s">
        <v>57</v>
      </c>
      <c r="G108">
        <v>88.9</v>
      </c>
      <c r="H108">
        <v>201</v>
      </c>
      <c r="I108">
        <v>150</v>
      </c>
      <c r="J108">
        <v>-51</v>
      </c>
      <c r="K108">
        <v>51</v>
      </c>
      <c r="L108">
        <v>-25.4</v>
      </c>
      <c r="M108" t="s">
        <v>17</v>
      </c>
    </row>
    <row r="109" spans="1:13" x14ac:dyDescent="0.25">
      <c r="A109" s="1"/>
      <c r="B109" s="1"/>
      <c r="C109" s="1"/>
      <c r="D109" s="1"/>
      <c r="E109" t="s">
        <v>52</v>
      </c>
      <c r="F109" t="s">
        <v>53</v>
      </c>
      <c r="G109">
        <v>48</v>
      </c>
      <c r="H109">
        <v>53</v>
      </c>
      <c r="I109">
        <v>75</v>
      </c>
      <c r="J109">
        <f>G232-F232</f>
        <v>0</v>
      </c>
      <c r="K109">
        <f>ABS(H232)</f>
        <v>0</v>
      </c>
      <c r="L109">
        <v>41.5</v>
      </c>
      <c r="M109" t="s">
        <v>54</v>
      </c>
    </row>
    <row r="110" spans="1:13" x14ac:dyDescent="0.25">
      <c r="A110" t="s">
        <v>120</v>
      </c>
      <c r="B110" t="s">
        <v>14</v>
      </c>
      <c r="C110">
        <v>23</v>
      </c>
      <c r="D110">
        <v>-11.4</v>
      </c>
      <c r="E110" t="s">
        <v>56</v>
      </c>
      <c r="F110" t="s">
        <v>57</v>
      </c>
      <c r="G110">
        <v>88.9</v>
      </c>
      <c r="H110">
        <v>201</v>
      </c>
      <c r="I110">
        <v>178</v>
      </c>
      <c r="J110">
        <v>-23</v>
      </c>
      <c r="K110">
        <v>23</v>
      </c>
      <c r="L110">
        <v>-11.4</v>
      </c>
      <c r="M110" t="s">
        <v>17</v>
      </c>
    </row>
    <row r="111" spans="1:13" x14ac:dyDescent="0.25">
      <c r="A111" s="1" t="s">
        <v>121</v>
      </c>
      <c r="B111" s="1" t="s">
        <v>14</v>
      </c>
      <c r="C111" s="1">
        <v>19.5</v>
      </c>
      <c r="D111" s="1">
        <v>22.9</v>
      </c>
      <c r="E111" t="s">
        <v>61</v>
      </c>
      <c r="F111" t="s">
        <v>64</v>
      </c>
      <c r="G111">
        <v>100</v>
      </c>
      <c r="H111">
        <v>32</v>
      </c>
      <c r="I111">
        <v>50</v>
      </c>
      <c r="J111">
        <v>18</v>
      </c>
      <c r="K111">
        <v>18</v>
      </c>
      <c r="L111">
        <v>56.2</v>
      </c>
      <c r="M111" t="s">
        <v>17</v>
      </c>
    </row>
    <row r="112" spans="1:13" x14ac:dyDescent="0.25">
      <c r="A112" s="1"/>
      <c r="B112" s="1"/>
      <c r="C112" s="1"/>
      <c r="D112" s="1"/>
      <c r="E112" t="s">
        <v>56</v>
      </c>
      <c r="F112" t="s">
        <v>57</v>
      </c>
      <c r="G112">
        <v>88.9</v>
      </c>
      <c r="H112">
        <v>201</v>
      </c>
      <c r="I112">
        <v>180</v>
      </c>
      <c r="J112">
        <v>-21</v>
      </c>
      <c r="K112">
        <v>21</v>
      </c>
      <c r="L112">
        <v>-10.4</v>
      </c>
      <c r="M112" t="s">
        <v>17</v>
      </c>
    </row>
    <row r="113" spans="1:13" x14ac:dyDescent="0.25">
      <c r="A113" s="1" t="s">
        <v>122</v>
      </c>
      <c r="B113" s="1" t="s">
        <v>14</v>
      </c>
      <c r="C113" s="1">
        <v>24.332999999999998</v>
      </c>
      <c r="D113" s="1">
        <v>6.3330000000000002</v>
      </c>
      <c r="E113" t="s">
        <v>56</v>
      </c>
      <c r="F113" t="s">
        <v>57</v>
      </c>
      <c r="G113">
        <v>88.9</v>
      </c>
      <c r="H113">
        <v>201</v>
      </c>
      <c r="I113">
        <v>150</v>
      </c>
      <c r="J113">
        <v>-51</v>
      </c>
      <c r="K113">
        <v>51</v>
      </c>
      <c r="L113">
        <v>-25.4</v>
      </c>
      <c r="M113" t="s">
        <v>17</v>
      </c>
    </row>
    <row r="114" spans="1:13" x14ac:dyDescent="0.25">
      <c r="A114" s="1"/>
      <c r="B114" s="1"/>
      <c r="C114" s="1"/>
      <c r="D114" s="1"/>
      <c r="E114" t="s">
        <v>61</v>
      </c>
      <c r="F114" t="s">
        <v>64</v>
      </c>
      <c r="G114">
        <v>100</v>
      </c>
      <c r="H114">
        <v>32</v>
      </c>
      <c r="I114">
        <v>50</v>
      </c>
      <c r="J114">
        <v>18</v>
      </c>
      <c r="K114">
        <v>18</v>
      </c>
      <c r="L114">
        <v>56.2</v>
      </c>
      <c r="M114" t="s">
        <v>17</v>
      </c>
    </row>
    <row r="115" spans="1:13" x14ac:dyDescent="0.25">
      <c r="A115" s="1"/>
      <c r="B115" s="1"/>
      <c r="C115" s="1"/>
      <c r="D115" s="1"/>
      <c r="E115" t="s">
        <v>69</v>
      </c>
      <c r="F115" t="s">
        <v>70</v>
      </c>
      <c r="G115">
        <v>100</v>
      </c>
      <c r="H115">
        <v>34</v>
      </c>
      <c r="I115">
        <v>30</v>
      </c>
      <c r="J115">
        <v>-4</v>
      </c>
      <c r="K115">
        <v>4</v>
      </c>
      <c r="L115">
        <v>-11.8</v>
      </c>
      <c r="M115" t="s">
        <v>17</v>
      </c>
    </row>
    <row r="116" spans="1:13" x14ac:dyDescent="0.25">
      <c r="A116" t="s">
        <v>123</v>
      </c>
      <c r="B116" t="s">
        <v>14</v>
      </c>
      <c r="C116">
        <v>45</v>
      </c>
      <c r="D116">
        <v>-47.4</v>
      </c>
      <c r="E116" t="s">
        <v>124</v>
      </c>
      <c r="F116" t="s">
        <v>125</v>
      </c>
      <c r="G116">
        <v>62.5</v>
      </c>
      <c r="H116">
        <v>95</v>
      </c>
      <c r="I116">
        <v>50</v>
      </c>
      <c r="J116">
        <v>-45</v>
      </c>
      <c r="K116">
        <v>45</v>
      </c>
      <c r="L116">
        <v>-47.4</v>
      </c>
      <c r="M116" t="s">
        <v>20</v>
      </c>
    </row>
    <row r="117" spans="1:13" x14ac:dyDescent="0.25">
      <c r="A117" t="s">
        <v>126</v>
      </c>
      <c r="B117" t="s">
        <v>14</v>
      </c>
      <c r="E117" t="s">
        <v>52</v>
      </c>
      <c r="F117" t="s">
        <v>53</v>
      </c>
      <c r="G117">
        <v>48</v>
      </c>
      <c r="H117">
        <v>53</v>
      </c>
      <c r="I117">
        <v>75</v>
      </c>
      <c r="J117">
        <f>G250-F250</f>
        <v>0</v>
      </c>
      <c r="K117">
        <f>ABS(H250)</f>
        <v>0</v>
      </c>
      <c r="L117">
        <v>41.5</v>
      </c>
      <c r="M117" t="s">
        <v>54</v>
      </c>
    </row>
    <row r="118" spans="1:13" x14ac:dyDescent="0.25">
      <c r="A118" s="1" t="s">
        <v>127</v>
      </c>
      <c r="B118" s="1" t="s">
        <v>14</v>
      </c>
      <c r="C118" s="1">
        <v>21</v>
      </c>
      <c r="D118" s="1">
        <v>-10.4</v>
      </c>
      <c r="E118" t="s">
        <v>52</v>
      </c>
      <c r="F118" t="s">
        <v>53</v>
      </c>
      <c r="G118">
        <v>48</v>
      </c>
      <c r="H118">
        <v>53</v>
      </c>
      <c r="I118">
        <v>80</v>
      </c>
      <c r="J118">
        <f>G251-F251</f>
        <v>0</v>
      </c>
      <c r="K118">
        <f>ABS(H251)</f>
        <v>0</v>
      </c>
      <c r="L118">
        <v>50.9</v>
      </c>
      <c r="M118" t="s">
        <v>54</v>
      </c>
    </row>
    <row r="119" spans="1:13" x14ac:dyDescent="0.25">
      <c r="A119" s="1"/>
      <c r="B119" s="1"/>
      <c r="C119" s="1"/>
      <c r="D119" s="1"/>
      <c r="E119" t="s">
        <v>56</v>
      </c>
      <c r="F119" t="s">
        <v>57</v>
      </c>
      <c r="G119">
        <v>88.9</v>
      </c>
      <c r="H119">
        <v>201</v>
      </c>
      <c r="I119">
        <v>180</v>
      </c>
      <c r="J119">
        <v>-21</v>
      </c>
      <c r="K119">
        <v>21</v>
      </c>
      <c r="L119">
        <v>-10.4</v>
      </c>
      <c r="M119" t="s">
        <v>17</v>
      </c>
    </row>
    <row r="120" spans="1:13" x14ac:dyDescent="0.25">
      <c r="A120" s="1" t="s">
        <v>128</v>
      </c>
      <c r="B120" s="1" t="s">
        <v>14</v>
      </c>
      <c r="C120" s="1">
        <v>27</v>
      </c>
      <c r="D120" s="1">
        <v>19.45</v>
      </c>
      <c r="E120" t="s">
        <v>56</v>
      </c>
      <c r="F120" t="s">
        <v>57</v>
      </c>
      <c r="G120">
        <v>88.9</v>
      </c>
      <c r="H120">
        <v>201</v>
      </c>
      <c r="I120">
        <v>180</v>
      </c>
      <c r="J120">
        <v>-21</v>
      </c>
      <c r="K120">
        <v>21</v>
      </c>
      <c r="L120">
        <v>-10.4</v>
      </c>
      <c r="M120" t="s">
        <v>17</v>
      </c>
    </row>
    <row r="121" spans="1:13" x14ac:dyDescent="0.25">
      <c r="A121" s="1"/>
      <c r="B121" s="1"/>
      <c r="C121" s="1"/>
      <c r="D121" s="1"/>
      <c r="E121" t="s">
        <v>49</v>
      </c>
      <c r="F121" t="s">
        <v>50</v>
      </c>
      <c r="G121">
        <v>71.400000000000006</v>
      </c>
      <c r="H121">
        <v>67</v>
      </c>
      <c r="I121">
        <v>100</v>
      </c>
      <c r="J121">
        <v>33</v>
      </c>
      <c r="K121">
        <v>33</v>
      </c>
      <c r="L121">
        <v>49.3</v>
      </c>
      <c r="M121" t="s">
        <v>20</v>
      </c>
    </row>
    <row r="122" spans="1:13" x14ac:dyDescent="0.25">
      <c r="A122" s="1"/>
      <c r="B122" s="1"/>
      <c r="C122" s="1"/>
      <c r="D122" s="1"/>
      <c r="E122" t="s">
        <v>52</v>
      </c>
      <c r="F122" t="s">
        <v>53</v>
      </c>
      <c r="G122">
        <v>48</v>
      </c>
      <c r="H122">
        <v>53</v>
      </c>
      <c r="I122">
        <v>80</v>
      </c>
      <c r="J122">
        <f>G255-F255</f>
        <v>0</v>
      </c>
      <c r="K122">
        <f>ABS(H255)</f>
        <v>0</v>
      </c>
      <c r="L122">
        <v>50.9</v>
      </c>
      <c r="M122" t="s">
        <v>54</v>
      </c>
    </row>
    <row r="123" spans="1:13" x14ac:dyDescent="0.25">
      <c r="A123" t="s">
        <v>129</v>
      </c>
      <c r="B123" t="s">
        <v>14</v>
      </c>
      <c r="C123">
        <v>8</v>
      </c>
      <c r="D123">
        <v>11.9</v>
      </c>
      <c r="E123" t="s">
        <v>49</v>
      </c>
      <c r="F123" t="s">
        <v>50</v>
      </c>
      <c r="G123">
        <v>71.400000000000006</v>
      </c>
      <c r="H123">
        <v>67</v>
      </c>
      <c r="I123">
        <v>75</v>
      </c>
      <c r="J123">
        <v>8</v>
      </c>
      <c r="K123">
        <v>8</v>
      </c>
      <c r="L123">
        <v>11.9</v>
      </c>
      <c r="M123" t="s">
        <v>20</v>
      </c>
    </row>
    <row r="124" spans="1:13" x14ac:dyDescent="0.25">
      <c r="A124" s="1" t="s">
        <v>130</v>
      </c>
      <c r="B124" s="1" t="s">
        <v>14</v>
      </c>
      <c r="C124" s="1">
        <v>18</v>
      </c>
      <c r="D124" s="1">
        <v>-18.2</v>
      </c>
      <c r="E124" t="s">
        <v>49</v>
      </c>
      <c r="F124" t="s">
        <v>50</v>
      </c>
      <c r="G124">
        <v>71.400000000000006</v>
      </c>
      <c r="H124">
        <v>67</v>
      </c>
      <c r="I124">
        <v>75</v>
      </c>
      <c r="J124">
        <v>8</v>
      </c>
      <c r="K124">
        <v>8</v>
      </c>
      <c r="L124">
        <v>11.9</v>
      </c>
      <c r="M124" t="s">
        <v>20</v>
      </c>
    </row>
    <row r="125" spans="1:13" x14ac:dyDescent="0.25">
      <c r="A125" s="1"/>
      <c r="B125" s="1"/>
      <c r="C125" s="1"/>
      <c r="D125" s="1"/>
      <c r="E125" t="s">
        <v>69</v>
      </c>
      <c r="F125" t="s">
        <v>70</v>
      </c>
      <c r="G125">
        <v>100</v>
      </c>
      <c r="H125">
        <v>58</v>
      </c>
      <c r="I125">
        <v>30</v>
      </c>
      <c r="J125">
        <v>-28</v>
      </c>
      <c r="K125">
        <v>28</v>
      </c>
      <c r="L125">
        <v>-48.3</v>
      </c>
      <c r="M125" t="s">
        <v>17</v>
      </c>
    </row>
    <row r="126" spans="1:13" x14ac:dyDescent="0.25">
      <c r="A126" t="s">
        <v>131</v>
      </c>
      <c r="B126" t="s">
        <v>14</v>
      </c>
      <c r="C126">
        <v>33</v>
      </c>
      <c r="D126">
        <v>-54.1</v>
      </c>
      <c r="E126" t="s">
        <v>69</v>
      </c>
      <c r="F126" t="s">
        <v>70</v>
      </c>
      <c r="G126">
        <v>100</v>
      </c>
      <c r="H126">
        <v>61</v>
      </c>
      <c r="I126">
        <v>28</v>
      </c>
      <c r="J126">
        <v>-33</v>
      </c>
      <c r="K126">
        <v>33</v>
      </c>
      <c r="L126">
        <v>-54.1</v>
      </c>
      <c r="M126" t="s">
        <v>17</v>
      </c>
    </row>
    <row r="127" spans="1:13" x14ac:dyDescent="0.25">
      <c r="A127" s="1" t="s">
        <v>132</v>
      </c>
      <c r="B127" s="1" t="s">
        <v>14</v>
      </c>
      <c r="C127" s="1">
        <v>34.667000000000002</v>
      </c>
      <c r="D127" s="1">
        <v>-16</v>
      </c>
      <c r="E127" t="s">
        <v>69</v>
      </c>
      <c r="F127" t="s">
        <v>70</v>
      </c>
      <c r="G127">
        <v>100</v>
      </c>
      <c r="H127">
        <v>61</v>
      </c>
      <c r="I127">
        <v>30</v>
      </c>
      <c r="J127">
        <v>-31</v>
      </c>
      <c r="K127">
        <v>31</v>
      </c>
      <c r="L127">
        <v>-50.8</v>
      </c>
      <c r="M127" t="s">
        <v>17</v>
      </c>
    </row>
    <row r="128" spans="1:13" x14ac:dyDescent="0.25">
      <c r="A128" s="1"/>
      <c r="B128" s="1"/>
      <c r="C128" s="1"/>
      <c r="D128" s="1"/>
      <c r="E128" t="s">
        <v>56</v>
      </c>
      <c r="F128" t="s">
        <v>57</v>
      </c>
      <c r="G128">
        <v>88.9</v>
      </c>
      <c r="H128">
        <v>201</v>
      </c>
      <c r="I128">
        <v>150</v>
      </c>
      <c r="J128">
        <v>-51</v>
      </c>
      <c r="K128">
        <v>51</v>
      </c>
      <c r="L128">
        <v>-25.4</v>
      </c>
      <c r="M128" t="s">
        <v>17</v>
      </c>
    </row>
    <row r="129" spans="1:13" x14ac:dyDescent="0.25">
      <c r="A129" s="1"/>
      <c r="B129" s="1"/>
      <c r="C129" s="1"/>
      <c r="D129" s="1"/>
      <c r="E129" t="s">
        <v>49</v>
      </c>
      <c r="F129" t="s">
        <v>50</v>
      </c>
      <c r="G129">
        <v>71.400000000000006</v>
      </c>
      <c r="H129">
        <v>78</v>
      </c>
      <c r="I129">
        <v>100</v>
      </c>
      <c r="J129">
        <v>22</v>
      </c>
      <c r="K129">
        <v>22</v>
      </c>
      <c r="L129">
        <v>28.2</v>
      </c>
      <c r="M129" t="s">
        <v>20</v>
      </c>
    </row>
    <row r="130" spans="1:13" x14ac:dyDescent="0.25">
      <c r="A130" s="1" t="s">
        <v>133</v>
      </c>
      <c r="B130" s="1" t="s">
        <v>14</v>
      </c>
      <c r="C130" s="1">
        <v>30.667000000000002</v>
      </c>
      <c r="D130" s="1">
        <v>-16.5</v>
      </c>
      <c r="E130" t="s">
        <v>49</v>
      </c>
      <c r="F130" t="s">
        <v>50</v>
      </c>
      <c r="G130">
        <v>71.400000000000006</v>
      </c>
      <c r="H130">
        <v>78</v>
      </c>
      <c r="I130">
        <v>92</v>
      </c>
      <c r="J130">
        <v>14</v>
      </c>
      <c r="K130">
        <v>14</v>
      </c>
      <c r="L130">
        <v>17.899999999999999</v>
      </c>
      <c r="M130" t="s">
        <v>20</v>
      </c>
    </row>
    <row r="131" spans="1:13" x14ac:dyDescent="0.25">
      <c r="A131" s="1"/>
      <c r="B131" s="1"/>
      <c r="C131" s="1"/>
      <c r="D131" s="1"/>
      <c r="E131" t="s">
        <v>56</v>
      </c>
      <c r="F131" t="s">
        <v>57</v>
      </c>
      <c r="G131">
        <v>88.9</v>
      </c>
      <c r="H131">
        <v>201</v>
      </c>
      <c r="I131">
        <v>148</v>
      </c>
      <c r="J131">
        <v>-53</v>
      </c>
      <c r="K131">
        <v>53</v>
      </c>
      <c r="L131">
        <v>-26.4</v>
      </c>
      <c r="M131" t="s">
        <v>17</v>
      </c>
    </row>
    <row r="132" spans="1:13" x14ac:dyDescent="0.25">
      <c r="A132" s="1"/>
      <c r="B132" s="1"/>
      <c r="C132" s="1"/>
      <c r="D132" s="1"/>
      <c r="E132" t="s">
        <v>52</v>
      </c>
      <c r="F132" t="s">
        <v>53</v>
      </c>
      <c r="G132">
        <v>48</v>
      </c>
      <c r="H132">
        <v>53</v>
      </c>
      <c r="I132">
        <v>88</v>
      </c>
      <c r="J132">
        <f>G270-F270</f>
        <v>0</v>
      </c>
      <c r="K132">
        <f>ABS(H270)</f>
        <v>0</v>
      </c>
      <c r="L132">
        <v>66</v>
      </c>
      <c r="M132" t="s">
        <v>54</v>
      </c>
    </row>
    <row r="133" spans="1:13" x14ac:dyDescent="0.25">
      <c r="A133" s="1"/>
      <c r="B133" s="1"/>
      <c r="C133" s="1"/>
      <c r="D133" s="1"/>
      <c r="E133" t="s">
        <v>69</v>
      </c>
      <c r="F133" t="s">
        <v>70</v>
      </c>
      <c r="G133">
        <v>100</v>
      </c>
      <c r="H133">
        <v>61</v>
      </c>
      <c r="I133">
        <v>36</v>
      </c>
      <c r="J133">
        <v>-25</v>
      </c>
      <c r="K133">
        <v>25</v>
      </c>
      <c r="L133">
        <v>-41</v>
      </c>
      <c r="M133" t="s">
        <v>17</v>
      </c>
    </row>
    <row r="134" spans="1:13" x14ac:dyDescent="0.25">
      <c r="A134" t="s">
        <v>134</v>
      </c>
      <c r="B134" t="s">
        <v>14</v>
      </c>
      <c r="C134">
        <v>19</v>
      </c>
      <c r="D134">
        <v>-40.4</v>
      </c>
      <c r="E134" t="s">
        <v>69</v>
      </c>
      <c r="F134" t="s">
        <v>69</v>
      </c>
      <c r="G134">
        <v>100</v>
      </c>
      <c r="H134">
        <v>47</v>
      </c>
      <c r="I134">
        <v>28</v>
      </c>
      <c r="J134">
        <v>-19</v>
      </c>
      <c r="K134">
        <v>19</v>
      </c>
      <c r="L134">
        <v>-40.4</v>
      </c>
      <c r="M134" t="s">
        <v>17</v>
      </c>
    </row>
    <row r="135" spans="1:13" x14ac:dyDescent="0.25">
      <c r="A135" t="s">
        <v>135</v>
      </c>
      <c r="B135" t="s">
        <v>14</v>
      </c>
      <c r="C135">
        <v>2</v>
      </c>
      <c r="D135">
        <v>-20</v>
      </c>
      <c r="E135" t="s">
        <v>35</v>
      </c>
      <c r="F135" t="s">
        <v>136</v>
      </c>
      <c r="G135">
        <v>62.5</v>
      </c>
      <c r="H135">
        <v>10</v>
      </c>
      <c r="I135">
        <v>8</v>
      </c>
      <c r="J135">
        <v>-2</v>
      </c>
      <c r="K135">
        <v>2</v>
      </c>
      <c r="L135">
        <v>-20</v>
      </c>
      <c r="M135" t="s">
        <v>20</v>
      </c>
    </row>
    <row r="136" spans="1:13" x14ac:dyDescent="0.25">
      <c r="A136" t="s">
        <v>137</v>
      </c>
      <c r="B136" t="s">
        <v>14</v>
      </c>
      <c r="C136">
        <v>40</v>
      </c>
      <c r="D136">
        <v>-25.8</v>
      </c>
      <c r="E136" t="s">
        <v>28</v>
      </c>
      <c r="F136" t="s">
        <v>138</v>
      </c>
      <c r="G136">
        <v>71.400000000000006</v>
      </c>
      <c r="H136">
        <v>155</v>
      </c>
      <c r="I136">
        <v>115</v>
      </c>
      <c r="J136">
        <v>-40</v>
      </c>
      <c r="K136">
        <v>40</v>
      </c>
      <c r="L136">
        <v>-25.8</v>
      </c>
      <c r="M136" t="s">
        <v>20</v>
      </c>
    </row>
    <row r="137" spans="1:13" x14ac:dyDescent="0.25">
      <c r="A137" t="s">
        <v>139</v>
      </c>
      <c r="B137" t="s">
        <v>14</v>
      </c>
      <c r="C137">
        <v>7</v>
      </c>
      <c r="D137">
        <v>5.6</v>
      </c>
      <c r="E137" t="s">
        <v>140</v>
      </c>
      <c r="F137" t="s">
        <v>141</v>
      </c>
      <c r="G137">
        <v>100</v>
      </c>
      <c r="H137">
        <v>124</v>
      </c>
      <c r="I137">
        <v>131</v>
      </c>
      <c r="J137">
        <v>7</v>
      </c>
      <c r="K137">
        <v>7</v>
      </c>
      <c r="L137">
        <v>5.6</v>
      </c>
      <c r="M137" t="s">
        <v>17</v>
      </c>
    </row>
    <row r="138" spans="1:13" x14ac:dyDescent="0.25">
      <c r="A138" s="1" t="s">
        <v>151</v>
      </c>
      <c r="B138" s="1" t="s">
        <v>14</v>
      </c>
      <c r="C138" s="1">
        <v>5.8120000000000003</v>
      </c>
      <c r="D138" s="1">
        <v>94.575000000000003</v>
      </c>
      <c r="E138" t="s">
        <v>142</v>
      </c>
      <c r="F138" t="s">
        <v>143</v>
      </c>
      <c r="G138">
        <v>100</v>
      </c>
      <c r="H138">
        <v>0.54612499999999997</v>
      </c>
      <c r="I138">
        <v>0.5</v>
      </c>
      <c r="J138">
        <v>-0.05</v>
      </c>
      <c r="K138">
        <v>0.05</v>
      </c>
      <c r="L138">
        <v>-8.4</v>
      </c>
      <c r="M138" t="s">
        <v>144</v>
      </c>
    </row>
    <row r="139" spans="1:13" x14ac:dyDescent="0.25">
      <c r="A139" s="1"/>
      <c r="B139" s="1"/>
      <c r="C139" s="1"/>
      <c r="D139" s="1"/>
      <c r="E139" t="s">
        <v>145</v>
      </c>
      <c r="F139" t="s">
        <v>146</v>
      </c>
      <c r="G139">
        <v>66.7</v>
      </c>
      <c r="H139">
        <v>0.13653100000000001</v>
      </c>
      <c r="I139">
        <v>0.2</v>
      </c>
      <c r="J139">
        <v>0.06</v>
      </c>
      <c r="K139">
        <v>0.06</v>
      </c>
      <c r="L139">
        <v>46.5</v>
      </c>
      <c r="M139" t="s">
        <v>147</v>
      </c>
    </row>
    <row r="140" spans="1:13" x14ac:dyDescent="0.25">
      <c r="A140" s="1"/>
      <c r="B140" s="1"/>
      <c r="C140" s="1"/>
      <c r="D140" s="1"/>
      <c r="E140" t="s">
        <v>148</v>
      </c>
      <c r="F140" t="s">
        <v>149</v>
      </c>
      <c r="G140">
        <v>100</v>
      </c>
      <c r="H140">
        <v>1.0922510000000001</v>
      </c>
      <c r="I140">
        <v>5</v>
      </c>
      <c r="J140">
        <v>3.91</v>
      </c>
      <c r="K140">
        <v>3.91</v>
      </c>
      <c r="L140">
        <v>357.8</v>
      </c>
      <c r="M140" t="s">
        <v>144</v>
      </c>
    </row>
    <row r="141" spans="1:13" x14ac:dyDescent="0.25">
      <c r="A141" s="1"/>
      <c r="B141" s="1"/>
      <c r="C141" s="1"/>
      <c r="D141" s="1"/>
      <c r="E141" t="s">
        <v>23</v>
      </c>
      <c r="F141" t="s">
        <v>150</v>
      </c>
      <c r="G141">
        <v>100</v>
      </c>
      <c r="H141">
        <v>109.225098</v>
      </c>
      <c r="I141">
        <v>90</v>
      </c>
      <c r="J141">
        <v>-19.23</v>
      </c>
      <c r="K141">
        <v>19.23</v>
      </c>
      <c r="L141">
        <v>-17.600000000000001</v>
      </c>
      <c r="M141" t="s">
        <v>17</v>
      </c>
    </row>
  </sheetData>
  <mergeCells count="172">
    <mergeCell ref="A13:A14"/>
    <mergeCell ref="C39:C42"/>
    <mergeCell ref="C78:C79"/>
    <mergeCell ref="B49:B52"/>
    <mergeCell ref="D36:D38"/>
    <mergeCell ref="C94:C95"/>
    <mergeCell ref="B130:B133"/>
    <mergeCell ref="A16:A17"/>
    <mergeCell ref="D102:D104"/>
    <mergeCell ref="A105:A106"/>
    <mergeCell ref="C16:C17"/>
    <mergeCell ref="B36:B38"/>
    <mergeCell ref="D30:D32"/>
    <mergeCell ref="B39:B42"/>
    <mergeCell ref="A107:A109"/>
    <mergeCell ref="C107:C109"/>
    <mergeCell ref="C105:C106"/>
    <mergeCell ref="C113:C115"/>
    <mergeCell ref="C86:C88"/>
    <mergeCell ref="A127:A129"/>
    <mergeCell ref="D84:D85"/>
    <mergeCell ref="B124:B125"/>
    <mergeCell ref="D130:D133"/>
    <mergeCell ref="D124:D125"/>
    <mergeCell ref="A24:A26"/>
    <mergeCell ref="B28:B29"/>
    <mergeCell ref="C24:C26"/>
    <mergeCell ref="C18:C20"/>
    <mergeCell ref="A22:A23"/>
    <mergeCell ref="B64:B65"/>
    <mergeCell ref="D60:D62"/>
    <mergeCell ref="B34:B35"/>
    <mergeCell ref="D28:D29"/>
    <mergeCell ref="A36:A38"/>
    <mergeCell ref="A30:A32"/>
    <mergeCell ref="C30:C32"/>
    <mergeCell ref="D39:D42"/>
    <mergeCell ref="B22:B23"/>
    <mergeCell ref="C64:C65"/>
    <mergeCell ref="A39:A42"/>
    <mergeCell ref="A111:A112"/>
    <mergeCell ref="D34:D35"/>
    <mergeCell ref="B107:B109"/>
    <mergeCell ref="C111:C112"/>
    <mergeCell ref="D107:D109"/>
    <mergeCell ref="A49:A52"/>
    <mergeCell ref="C36:C38"/>
    <mergeCell ref="C49:C52"/>
    <mergeCell ref="D56:D58"/>
    <mergeCell ref="A70:A71"/>
    <mergeCell ref="B66:B68"/>
    <mergeCell ref="B78:B79"/>
    <mergeCell ref="D72:D73"/>
    <mergeCell ref="D78:D79"/>
    <mergeCell ref="C70:C71"/>
    <mergeCell ref="B86:B88"/>
    <mergeCell ref="C2:C6"/>
    <mergeCell ref="B8:B9"/>
    <mergeCell ref="B24:B26"/>
    <mergeCell ref="D24:D26"/>
    <mergeCell ref="D18:D20"/>
    <mergeCell ref="D8:D9"/>
    <mergeCell ref="D64:D65"/>
    <mergeCell ref="D80:D82"/>
    <mergeCell ref="D120:D122"/>
    <mergeCell ref="B54:B55"/>
    <mergeCell ref="D54:D55"/>
    <mergeCell ref="D89:D92"/>
    <mergeCell ref="B120:B122"/>
    <mergeCell ref="B118:B119"/>
    <mergeCell ref="D118:D119"/>
    <mergeCell ref="C22:C23"/>
    <mergeCell ref="D113:D115"/>
    <mergeCell ref="B13:B14"/>
    <mergeCell ref="D13:D14"/>
    <mergeCell ref="D16:D17"/>
    <mergeCell ref="A102:A104"/>
    <mergeCell ref="B105:B106"/>
    <mergeCell ref="D105:D106"/>
    <mergeCell ref="C102:C104"/>
    <mergeCell ref="B113:B115"/>
    <mergeCell ref="A2:A6"/>
    <mergeCell ref="B11:B12"/>
    <mergeCell ref="D11:D12"/>
    <mergeCell ref="A54:A55"/>
    <mergeCell ref="C54:C55"/>
    <mergeCell ref="D49:D52"/>
    <mergeCell ref="B74:B76"/>
    <mergeCell ref="C100:C101"/>
    <mergeCell ref="A96:A98"/>
    <mergeCell ref="A89:A92"/>
    <mergeCell ref="C96:C98"/>
    <mergeCell ref="B44:B45"/>
    <mergeCell ref="B84:B85"/>
    <mergeCell ref="A8:A9"/>
    <mergeCell ref="C8:C9"/>
    <mergeCell ref="A60:A62"/>
    <mergeCell ref="B16:B17"/>
    <mergeCell ref="A18:A20"/>
    <mergeCell ref="A11:A12"/>
    <mergeCell ref="A94:A95"/>
    <mergeCell ref="A84:A85"/>
    <mergeCell ref="A78:A79"/>
    <mergeCell ref="D74:D76"/>
    <mergeCell ref="C89:C92"/>
    <mergeCell ref="B80:B82"/>
    <mergeCell ref="C44:C45"/>
    <mergeCell ref="C66:C68"/>
    <mergeCell ref="C84:C85"/>
    <mergeCell ref="A138:A141"/>
    <mergeCell ref="B111:B112"/>
    <mergeCell ref="D111:D112"/>
    <mergeCell ref="B127:B129"/>
    <mergeCell ref="A124:A125"/>
    <mergeCell ref="D127:D129"/>
    <mergeCell ref="A118:A119"/>
    <mergeCell ref="C124:C125"/>
    <mergeCell ref="C118:C119"/>
    <mergeCell ref="B138:B141"/>
    <mergeCell ref="D138:D141"/>
    <mergeCell ref="A113:A115"/>
    <mergeCell ref="C138:C141"/>
    <mergeCell ref="A130:A133"/>
    <mergeCell ref="A120:A122"/>
    <mergeCell ref="B2:B6"/>
    <mergeCell ref="B18:B20"/>
    <mergeCell ref="C13:C14"/>
    <mergeCell ref="D2:D6"/>
    <mergeCell ref="A44:A45"/>
    <mergeCell ref="A66:A68"/>
    <mergeCell ref="A34:A35"/>
    <mergeCell ref="C127:C129"/>
    <mergeCell ref="A28:A29"/>
    <mergeCell ref="C28:C29"/>
    <mergeCell ref="B89:B92"/>
    <mergeCell ref="A64:A65"/>
    <mergeCell ref="B60:B62"/>
    <mergeCell ref="A86:A88"/>
    <mergeCell ref="D100:D101"/>
    <mergeCell ref="A80:A82"/>
    <mergeCell ref="C120:C122"/>
    <mergeCell ref="B72:B73"/>
    <mergeCell ref="C60:C62"/>
    <mergeCell ref="A56:A58"/>
    <mergeCell ref="B100:B101"/>
    <mergeCell ref="C56:C58"/>
    <mergeCell ref="B70:B71"/>
    <mergeCell ref="B30:B32"/>
    <mergeCell ref="D22:D23"/>
    <mergeCell ref="C11:C12"/>
    <mergeCell ref="C74:C76"/>
    <mergeCell ref="C130:C133"/>
    <mergeCell ref="A100:A101"/>
    <mergeCell ref="B96:B98"/>
    <mergeCell ref="D96:D98"/>
    <mergeCell ref="A72:A73"/>
    <mergeCell ref="C72:C73"/>
    <mergeCell ref="D70:D71"/>
    <mergeCell ref="B56:B58"/>
    <mergeCell ref="A46:A48"/>
    <mergeCell ref="C80:C82"/>
    <mergeCell ref="C46:C48"/>
    <mergeCell ref="D44:D45"/>
    <mergeCell ref="D66:D68"/>
    <mergeCell ref="B46:B48"/>
    <mergeCell ref="B102:B104"/>
    <mergeCell ref="D46:D48"/>
    <mergeCell ref="D86:D88"/>
    <mergeCell ref="A74:A76"/>
    <mergeCell ref="C34:C35"/>
    <mergeCell ref="B94:B95"/>
    <mergeCell ref="D94:D95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 Tu</cp:lastModifiedBy>
  <dcterms:created xsi:type="dcterms:W3CDTF">2025-11-05T20:10:21Z</dcterms:created>
  <dcterms:modified xsi:type="dcterms:W3CDTF">2025-11-05T23:05:48Z</dcterms:modified>
</cp:coreProperties>
</file>